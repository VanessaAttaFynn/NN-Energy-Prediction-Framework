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UGMSC\FYP\NN Energy Prediction Framework\docs\notes\SLR PROCESS-old\"/>
    </mc:Choice>
  </mc:AlternateContent>
  <xr:revisionPtr revIDLastSave="0" documentId="13_ncr:1_{28F0C16C-E68C-42B9-8F63-4CF1AD046D19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earch Log" sheetId="1" r:id="rId1"/>
    <sheet name="PRISMA Flow" sheetId="2" r:id="rId2"/>
    <sheet name="Paper Extra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E18" i="1"/>
  <c r="E30" i="1"/>
  <c r="A32" i="1"/>
  <c r="A3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<sst xmlns="http://schemas.openxmlformats.org/spreadsheetml/2006/main" count="290" uniqueCount="126">
  <si>
    <t>Systematic Literature Review — Search Log</t>
  </si>
  <si>
    <t>Query: Tools and Methods for A Priori Prediction of Neural Network Training Energy Consumption</t>
  </si>
  <si>
    <t>#</t>
  </si>
  <si>
    <t>Database</t>
  </si>
  <si>
    <t>Query String</t>
  </si>
  <si>
    <t>Field Searched</t>
  </si>
  <si>
    <t>Results Returned</t>
  </si>
  <si>
    <t>Notes</t>
  </si>
  <si>
    <t>Google Scholar</t>
  </si>
  <si>
    <t>allintitle: "deep learning" "energy consumption" prediction</t>
  </si>
  <si>
    <t>Title</t>
  </si>
  <si>
    <t>Since 2018 filter applied</t>
  </si>
  <si>
    <t>allintitle: "deep learning" "energy consumption"</t>
  </si>
  <si>
    <t>allintitle: "energy consumption" "neural network training"</t>
  </si>
  <si>
    <t>allintitle: "power consumption" "neural network" training</t>
  </si>
  <si>
    <t>Field uses 'energy' not 'power'</t>
  </si>
  <si>
    <t>allintitle: "carbon footprint" "deep learning"</t>
  </si>
  <si>
    <t>IEEE Xplore</t>
  </si>
  <si>
    <t>"deep learning" AND "energy consumption"</t>
  </si>
  <si>
    <t>Document Title</t>
  </si>
  <si>
    <t>Advanced Search used</t>
  </si>
  <si>
    <t>"neural network" AND "energy consumption" AND training</t>
  </si>
  <si>
    <t>"deep learning" AND "energy consumption" AND prediction</t>
  </si>
  <si>
    <t>"carbon footprint" AND "deep learning"</t>
  </si>
  <si>
    <t>ACM Digital Library</t>
  </si>
  <si>
    <t>TOTAL (Initial Pool — Before Deduplication)</t>
  </si>
  <si>
    <t>PRISMA Flow — Paper Selection Summary</t>
  </si>
  <si>
    <t>Stage</t>
  </si>
  <si>
    <t>Description</t>
  </si>
  <si>
    <t>Count</t>
  </si>
  <si>
    <t>Stage 1 — Identification</t>
  </si>
  <si>
    <t>Initial search results across Google Scholar, IEEE Xplore, ACM (before deduplication)</t>
  </si>
  <si>
    <t>Stage 2 — Date Filter</t>
  </si>
  <si>
    <t>Apply 2018–2025 date range filter</t>
  </si>
  <si>
    <t>TBD</t>
  </si>
  <si>
    <t>Remove off-topic results (buildings, vehicles, solar, biomedical etc.)</t>
  </si>
  <si>
    <t>Stage 4 — Deduplication</t>
  </si>
  <si>
    <t>Merge results across databases; remove duplicates</t>
  </si>
  <si>
    <t>Read abstracts; apply inclusion/exclusion criteria</t>
  </si>
  <si>
    <t>Full-text review; papers included in synthesis</t>
  </si>
  <si>
    <t>Paper Extraction Table — Final Selected Papers</t>
  </si>
  <si>
    <t>Authors</t>
  </si>
  <si>
    <t>Year</t>
  </si>
  <si>
    <t>Approach Type</t>
  </si>
  <si>
    <t>Timing
(A priori / During / Post)</t>
  </si>
  <si>
    <t>Scope
(Architectures)</t>
  </si>
  <si>
    <t>Hardware</t>
  </si>
  <si>
    <t>Key Finding</t>
  </si>
  <si>
    <t>Relevant to Gap?</t>
  </si>
  <si>
    <t>Patterson et al.</t>
  </si>
  <si>
    <t>Analytical/Empirical</t>
  </si>
  <si>
    <t>Post-hoc</t>
  </si>
  <si>
    <t>LLMs (GPT-3, T5)</t>
  </si>
  <si>
    <t>TPU, GPU</t>
  </si>
  <si>
    <t>LLM training emits massive CO2; efficiency improving</t>
  </si>
  <si>
    <t>Yes</t>
  </si>
  <si>
    <t>Anthony et al. (Carbontracker)</t>
  </si>
  <si>
    <t>Software sensor + extrapolation</t>
  </si>
  <si>
    <t>During training</t>
  </si>
  <si>
    <t>General ML</t>
  </si>
  <si>
    <t>CPU, GPU</t>
  </si>
  <si>
    <t>Carbontracker extrapolates energy from first N epochs</t>
  </si>
  <si>
    <t>Strubell et al.</t>
  </si>
  <si>
    <t>Measurement (RAPL/NVML)</t>
  </si>
  <si>
    <t>During/Post</t>
  </si>
  <si>
    <t>NLP models (BERT, NAS)</t>
  </si>
  <si>
    <t>GPU (P100, V100)</t>
  </si>
  <si>
    <t>Training BERT = 652kg CO2; NAS extremely expensive</t>
  </si>
  <si>
    <t>Luccioni et al. (BLOOM)</t>
  </si>
  <si>
    <t>Measurement (CodeCarbon)</t>
  </si>
  <si>
    <t>LLM (BLOOM 176B)</t>
  </si>
  <si>
    <t>GPU cluster</t>
  </si>
  <si>
    <t>24.7t CO2 for BLOOM; lifecycle analysis included</t>
  </si>
  <si>
    <t>Garcia-Martin et al.</t>
  </si>
  <si>
    <t>Survey</t>
  </si>
  <si>
    <t>N/A</t>
  </si>
  <si>
    <t>Survey of energy estimation approaches for ML</t>
  </si>
  <si>
    <t>Schwartz et al. (Green AI)</t>
  </si>
  <si>
    <t>Position/Policy</t>
  </si>
  <si>
    <t>General</t>
  </si>
  <si>
    <t>Red AI vs Green AI framework; efficiency must be reported</t>
  </si>
  <si>
    <t>Lannelongue et al. (Green Algorithms)</t>
  </si>
  <si>
    <t>Analytical model</t>
  </si>
  <si>
    <t>A priori/During</t>
  </si>
  <si>
    <t>General computing</t>
  </si>
  <si>
    <t>Online calculator for carbon footprint of computation</t>
  </si>
  <si>
    <t>Bouza et al.</t>
  </si>
  <si>
    <t>Measurement comparison</t>
  </si>
  <si>
    <t>During</t>
  </si>
  <si>
    <t>Comparison of carbon footprint estimation methods</t>
  </si>
  <si>
    <t>Cai et al. (NeuralPower)</t>
  </si>
  <si>
    <t>ML regression (sparse polynomial)</t>
  </si>
  <si>
    <t>A priori</t>
  </si>
  <si>
    <t>CNNs only</t>
  </si>
  <si>
    <t>GPU</t>
  </si>
  <si>
    <t>Predicts CNN layer energy; 97% accuracy but CNN-only</t>
  </si>
  <si>
    <t>Yes — core gap</t>
  </si>
  <si>
    <t>Donnellan et al.</t>
  </si>
  <si>
    <t>Survey/Framework</t>
  </si>
  <si>
    <t>Various</t>
  </si>
  <si>
    <t>Energy efficiency optimisation in ML</t>
  </si>
  <si>
    <t>Desislavov et al.</t>
  </si>
  <si>
    <t>Inference (CV, NLP)</t>
  </si>
  <si>
    <t>Trends in inference energy; parameter laws don't hold</t>
  </si>
  <si>
    <t>Partial</t>
  </si>
  <si>
    <t>Fischer et al.</t>
  </si>
  <si>
    <t>Measurement validation</t>
  </si>
  <si>
    <t>Software sensors underestimate by up to 40% vs hardware</t>
  </si>
  <si>
    <t>Yes — key finding</t>
  </si>
  <si>
    <t>Luccioni et al. (Watts)</t>
  </si>
  <si>
    <t>Measurement (Zeus)</t>
  </si>
  <si>
    <t>Inference tasks</t>
  </si>
  <si>
    <t>Inference energy varies widely across tasks and hardware</t>
  </si>
  <si>
    <t>You et al. (Zeus)</t>
  </si>
  <si>
    <t>Measurement + optimisation</t>
  </si>
  <si>
    <t>DNN training</t>
  </si>
  <si>
    <t>GPU (A100, V100)</t>
  </si>
  <si>
    <t>Zeus minimises GPU energy via batch size/power optimisation</t>
  </si>
  <si>
    <t>TOTAL (Pool filtered by date)</t>
  </si>
  <si>
    <t>TOTAL (irrelevent)</t>
  </si>
  <si>
    <t>Remaining Papers</t>
  </si>
  <si>
    <t>Stage 3 — Exclusion Keywords &amp; Title Screening</t>
  </si>
  <si>
    <t>Stage 5 — Abstract Screening</t>
  </si>
  <si>
    <t>Stage 6 — Final Selection</t>
  </si>
  <si>
    <t>not completed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</si>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</sst>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444444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i/>
      <sz val="9"/>
      <color rgb="FFFFFFFF"/>
      <name val="Arial"/>
    </font>
    <font>
      <b/>
      <sz val="13"/>
      <color rgb="FFFFFFFF"/>
      <name val="Arial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EDF7ED"/>
      </patternFill>
    </fill>
    <fill>
      <patternFill patternType="solid">
        <fgColor rgb="FFFEF9E7"/>
      </patternFill>
    </fill>
    <fill>
      <patternFill patternType="solid">
        <fgColor rgb="FFFDECEA"/>
      </patternFill>
    </fill>
    <fill>
      <patternFill patternType="solid">
        <fgColor rgb="FFF3E8FF"/>
      </patternFill>
    </fill>
    <fill>
      <patternFill patternType="solid">
        <fgColor rgb="FFE8F8F5"/>
      </patternFill>
    </fill>
    <fill>
      <patternFill patternType="solid">
        <fgColor rgb="FFFFFFFF"/>
      </patternFill>
    </fill>
    <fill>
      <patternFill patternType="solid">
        <fgColor rgb="FFD5F5E3"/>
      </patternFill>
    </fill>
    <fill>
      <patternFill patternType="solid">
        <fgColor rgb="FFF2F2F2"/>
      </patternFill>
    </fill>
    <fill>
      <patternFill patternType="solid">
        <fgColor rgb="FFFDFEFE"/>
      </patternFill>
    </fill>
    <fill>
      <patternFill patternType="solid">
        <fgColor rgb="FFA2128D"/>
        <bgColor indexed="64"/>
      </patternFill>
    </fill>
    <fill>
      <patternFill patternType="solid">
        <fgColor rgb="FF6A0C5D"/>
        <bgColor indexed="64"/>
      </patternFill>
    </fill>
    <fill>
      <patternFill patternType="solid">
        <fgColor rgb="FFFACAF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3F7B5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3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0" fillId="0" borderId="0" xfId="0"/>
    <xf numFmtId="0" fontId="2" fillId="16" borderId="0" xfId="0" applyFont="1" applyFill="1" applyAlignment="1">
      <alignment horizontal="center" vertical="center"/>
    </xf>
    <xf numFmtId="0" fontId="0" fillId="16" borderId="0" xfId="0" applyFill="1"/>
    <xf numFmtId="0" fontId="6" fillId="15" borderId="1" xfId="0" applyFont="1" applyFill="1" applyBorder="1" applyAlignment="1">
      <alignment horizontal="center" vertical="center"/>
    </xf>
    <xf numFmtId="0" fontId="0" fillId="15" borderId="0" xfId="0" applyFill="1"/>
    <xf numFmtId="0" fontId="1" fillId="15" borderId="0" xfId="0" applyFont="1" applyFill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3F7B5"/>
      <color rgb="FFFACAF8"/>
      <color rgb="FFD113C8"/>
      <color rgb="FF6A0C5D"/>
      <color rgb="FFA212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109" zoomScaleNormal="40" workbookViewId="0">
      <selection activeCell="E7" sqref="E7"/>
    </sheetView>
  </sheetViews>
  <sheetFormatPr defaultRowHeight="14.4" x14ac:dyDescent="0.3"/>
  <cols>
    <col min="1" max="1" width="5" customWidth="1"/>
    <col min="2" max="2" width="20" customWidth="1"/>
    <col min="3" max="3" width="52" customWidth="1"/>
    <col min="4" max="4" width="18" customWidth="1"/>
    <col min="5" max="5" width="28.77734375" customWidth="1"/>
    <col min="6" max="6" width="32" customWidth="1"/>
  </cols>
  <sheetData>
    <row r="1" spans="1:6" ht="30" customHeight="1" x14ac:dyDescent="0.3">
      <c r="A1" s="43" t="s">
        <v>0</v>
      </c>
      <c r="B1" s="42"/>
      <c r="C1" s="42"/>
      <c r="D1" s="42"/>
      <c r="E1" s="42"/>
      <c r="F1" s="42"/>
    </row>
    <row r="2" spans="1:6" ht="19.95" customHeight="1" x14ac:dyDescent="0.3">
      <c r="A2" s="39" t="s">
        <v>1</v>
      </c>
      <c r="B2" s="40"/>
      <c r="C2" s="40"/>
      <c r="D2" s="40"/>
      <c r="E2" s="40"/>
      <c r="F2" s="40"/>
    </row>
    <row r="3" spans="1:6" ht="7.95" customHeight="1" x14ac:dyDescent="0.3"/>
    <row r="4" spans="1:6" ht="22.0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</row>
    <row r="5" spans="1:6" ht="22.05" customHeight="1" x14ac:dyDescent="0.3">
      <c r="A5" s="2">
        <v>1</v>
      </c>
      <c r="B5" s="3" t="s">
        <v>8</v>
      </c>
      <c r="C5" s="4" t="s">
        <v>9</v>
      </c>
      <c r="D5" s="2" t="s">
        <v>10</v>
      </c>
      <c r="E5" s="2">
        <v>141</v>
      </c>
      <c r="F5" s="4"/>
    </row>
    <row r="6" spans="1:6" ht="22.05" customHeight="1" x14ac:dyDescent="0.3">
      <c r="A6" s="2">
        <v>2</v>
      </c>
      <c r="B6" s="3" t="s">
        <v>8</v>
      </c>
      <c r="C6" s="4" t="s">
        <v>12</v>
      </c>
      <c r="D6" s="2" t="s">
        <v>10</v>
      </c>
      <c r="E6" s="2">
        <v>489</v>
      </c>
      <c r="F6" s="4"/>
    </row>
    <row r="7" spans="1:6" ht="22.05" customHeight="1" x14ac:dyDescent="0.3">
      <c r="A7" s="2">
        <v>3</v>
      </c>
      <c r="B7" s="3" t="s">
        <v>8</v>
      </c>
      <c r="C7" s="25" t="s">
        <v>13</v>
      </c>
      <c r="D7" s="2" t="s">
        <v>10</v>
      </c>
      <c r="E7" s="2">
        <v>3</v>
      </c>
      <c r="F7" s="4"/>
    </row>
    <row r="8" spans="1:6" ht="22.05" customHeight="1" x14ac:dyDescent="0.3">
      <c r="A8" s="2">
        <v>4</v>
      </c>
      <c r="B8" s="3" t="s">
        <v>8</v>
      </c>
      <c r="C8" s="4" t="s">
        <v>14</v>
      </c>
      <c r="D8" s="2" t="s">
        <v>10</v>
      </c>
      <c r="E8" s="2">
        <v>0</v>
      </c>
      <c r="F8" s="4" t="s">
        <v>15</v>
      </c>
    </row>
    <row r="9" spans="1:6" ht="22.05" customHeight="1" x14ac:dyDescent="0.3">
      <c r="A9" s="2">
        <v>5</v>
      </c>
      <c r="B9" s="3" t="s">
        <v>8</v>
      </c>
      <c r="C9" s="25" t="s">
        <v>16</v>
      </c>
      <c r="D9" s="2" t="s">
        <v>10</v>
      </c>
      <c r="E9" s="2">
        <v>50</v>
      </c>
      <c r="F9" s="4"/>
    </row>
    <row r="10" spans="1:6" ht="22.05" customHeight="1" x14ac:dyDescent="0.3">
      <c r="A10" s="5">
        <v>6</v>
      </c>
      <c r="B10" s="6" t="s">
        <v>17</v>
      </c>
      <c r="C10" s="7" t="s">
        <v>18</v>
      </c>
      <c r="D10" s="5" t="s">
        <v>19</v>
      </c>
      <c r="E10" s="5">
        <v>96</v>
      </c>
      <c r="F10" s="7" t="s">
        <v>20</v>
      </c>
    </row>
    <row r="11" spans="1:6" ht="22.05" customHeight="1" x14ac:dyDescent="0.3">
      <c r="A11" s="5">
        <v>7</v>
      </c>
      <c r="B11" s="6" t="s">
        <v>17</v>
      </c>
      <c r="C11" s="7" t="s">
        <v>21</v>
      </c>
      <c r="D11" s="5" t="s">
        <v>19</v>
      </c>
      <c r="E11" s="5">
        <v>2</v>
      </c>
      <c r="F11" s="7" t="s">
        <v>20</v>
      </c>
    </row>
    <row r="12" spans="1:6" ht="22.05" customHeight="1" x14ac:dyDescent="0.3">
      <c r="A12" s="5">
        <v>8</v>
      </c>
      <c r="B12" s="6" t="s">
        <v>17</v>
      </c>
      <c r="C12" s="7" t="s">
        <v>22</v>
      </c>
      <c r="D12" s="5" t="s">
        <v>19</v>
      </c>
      <c r="E12" s="5">
        <v>23</v>
      </c>
      <c r="F12" s="7" t="s">
        <v>20</v>
      </c>
    </row>
    <row r="13" spans="1:6" ht="22.05" customHeight="1" x14ac:dyDescent="0.3">
      <c r="A13" s="5">
        <v>9</v>
      </c>
      <c r="B13" s="6" t="s">
        <v>17</v>
      </c>
      <c r="C13" s="7" t="s">
        <v>23</v>
      </c>
      <c r="D13" s="5" t="s">
        <v>19</v>
      </c>
      <c r="E13" s="5">
        <v>6</v>
      </c>
      <c r="F13" s="7" t="s">
        <v>20</v>
      </c>
    </row>
    <row r="14" spans="1:6" ht="22.05" customHeight="1" x14ac:dyDescent="0.3">
      <c r="A14" s="8">
        <v>10</v>
      </c>
      <c r="B14" s="9" t="s">
        <v>24</v>
      </c>
      <c r="C14" s="10" t="s">
        <v>18</v>
      </c>
      <c r="D14" s="8" t="s">
        <v>10</v>
      </c>
      <c r="E14" s="8">
        <v>4</v>
      </c>
      <c r="F14" s="10" t="s">
        <v>20</v>
      </c>
    </row>
    <row r="15" spans="1:6" ht="22.05" customHeight="1" x14ac:dyDescent="0.3">
      <c r="A15" s="8">
        <v>11</v>
      </c>
      <c r="B15" s="9" t="s">
        <v>24</v>
      </c>
      <c r="C15" s="10" t="s">
        <v>21</v>
      </c>
      <c r="D15" s="8" t="s">
        <v>10</v>
      </c>
      <c r="E15" s="8">
        <v>0</v>
      </c>
      <c r="F15" s="10"/>
    </row>
    <row r="16" spans="1:6" ht="22.05" customHeight="1" x14ac:dyDescent="0.3">
      <c r="A16" s="8">
        <v>12</v>
      </c>
      <c r="B16" s="9" t="s">
        <v>24</v>
      </c>
      <c r="C16" s="10" t="s">
        <v>22</v>
      </c>
      <c r="D16" s="8" t="s">
        <v>10</v>
      </c>
      <c r="E16" s="8">
        <v>2</v>
      </c>
      <c r="F16" s="10"/>
    </row>
    <row r="17" spans="1:6" ht="22.05" customHeight="1" x14ac:dyDescent="0.3">
      <c r="A17" s="8">
        <v>13</v>
      </c>
      <c r="B17" s="9" t="s">
        <v>24</v>
      </c>
      <c r="C17" s="10" t="s">
        <v>23</v>
      </c>
      <c r="D17" s="8" t="s">
        <v>10</v>
      </c>
      <c r="E17" s="8">
        <v>0</v>
      </c>
      <c r="F17" s="10"/>
    </row>
    <row r="18" spans="1:6" ht="24" customHeight="1" x14ac:dyDescent="0.3">
      <c r="A18" s="41" t="s">
        <v>25</v>
      </c>
      <c r="B18" s="42"/>
      <c r="C18" s="42"/>
      <c r="D18" s="42"/>
      <c r="E18" s="22">
        <f>SUM(E5:E17)</f>
        <v>816</v>
      </c>
      <c r="F18" s="23"/>
    </row>
    <row r="19" spans="1:6" x14ac:dyDescent="0.3">
      <c r="A19" s="24" t="s">
        <v>2</v>
      </c>
      <c r="B19" s="24" t="s">
        <v>3</v>
      </c>
      <c r="C19" s="24" t="s">
        <v>4</v>
      </c>
      <c r="D19" s="24" t="s">
        <v>5</v>
      </c>
      <c r="E19" s="24" t="s">
        <v>6</v>
      </c>
      <c r="F19" s="24" t="s">
        <v>7</v>
      </c>
    </row>
    <row r="20" spans="1:6" ht="22.8" customHeight="1" x14ac:dyDescent="0.3">
      <c r="A20" s="2">
        <v>1</v>
      </c>
      <c r="B20" s="3" t="s">
        <v>8</v>
      </c>
      <c r="C20" s="4" t="s">
        <v>9</v>
      </c>
      <c r="D20" s="2" t="s">
        <v>10</v>
      </c>
      <c r="E20" s="2">
        <v>117</v>
      </c>
      <c r="F20" s="4" t="s">
        <v>11</v>
      </c>
    </row>
    <row r="21" spans="1:6" ht="22.8" customHeight="1" x14ac:dyDescent="0.3">
      <c r="A21" s="2">
        <v>2</v>
      </c>
      <c r="B21" s="3" t="s">
        <v>8</v>
      </c>
      <c r="C21" s="4" t="s">
        <v>12</v>
      </c>
      <c r="D21" s="2" t="s">
        <v>10</v>
      </c>
      <c r="E21" s="2">
        <v>444</v>
      </c>
      <c r="F21" s="4" t="s">
        <v>11</v>
      </c>
    </row>
    <row r="22" spans="1:6" ht="22.8" customHeight="1" x14ac:dyDescent="0.3">
      <c r="A22" s="2">
        <v>3</v>
      </c>
      <c r="B22" s="3" t="s">
        <v>8</v>
      </c>
      <c r="C22" s="4" t="s">
        <v>13</v>
      </c>
      <c r="D22" s="2" t="s">
        <v>10</v>
      </c>
      <c r="E22" s="2">
        <v>3</v>
      </c>
      <c r="F22" s="4" t="s">
        <v>11</v>
      </c>
    </row>
    <row r="23" spans="1:6" ht="22.8" customHeight="1" x14ac:dyDescent="0.3">
      <c r="A23" s="2">
        <v>4</v>
      </c>
      <c r="B23" s="3" t="s">
        <v>8</v>
      </c>
      <c r="C23" s="4" t="s">
        <v>16</v>
      </c>
      <c r="D23" s="2" t="s">
        <v>10</v>
      </c>
      <c r="E23" s="2">
        <v>32</v>
      </c>
      <c r="F23" s="4" t="s">
        <v>11</v>
      </c>
    </row>
    <row r="24" spans="1:6" ht="22.8" customHeight="1" x14ac:dyDescent="0.3">
      <c r="A24" s="5">
        <v>5</v>
      </c>
      <c r="B24" s="6" t="s">
        <v>17</v>
      </c>
      <c r="C24" s="26" t="s">
        <v>18</v>
      </c>
      <c r="D24" s="5" t="s">
        <v>19</v>
      </c>
      <c r="E24" s="5">
        <v>95</v>
      </c>
      <c r="F24" s="7" t="s">
        <v>20</v>
      </c>
    </row>
    <row r="25" spans="1:6" ht="22.8" customHeight="1" x14ac:dyDescent="0.3">
      <c r="A25" s="5">
        <v>6</v>
      </c>
      <c r="B25" s="6" t="s">
        <v>17</v>
      </c>
      <c r="C25" s="26" t="s">
        <v>21</v>
      </c>
      <c r="D25" s="5" t="s">
        <v>19</v>
      </c>
      <c r="E25" s="5">
        <v>1</v>
      </c>
      <c r="F25" s="7" t="s">
        <v>20</v>
      </c>
    </row>
    <row r="26" spans="1:6" ht="22.8" customHeight="1" x14ac:dyDescent="0.3">
      <c r="A26" s="5">
        <v>7</v>
      </c>
      <c r="B26" s="6" t="s">
        <v>17</v>
      </c>
      <c r="C26" s="26" t="s">
        <v>22</v>
      </c>
      <c r="D26" s="5" t="s">
        <v>19</v>
      </c>
      <c r="E26" s="5">
        <v>23</v>
      </c>
      <c r="F26" s="7" t="s">
        <v>20</v>
      </c>
    </row>
    <row r="27" spans="1:6" ht="22.8" customHeight="1" x14ac:dyDescent="0.3">
      <c r="A27" s="5">
        <v>8</v>
      </c>
      <c r="B27" s="6" t="s">
        <v>17</v>
      </c>
      <c r="C27" s="26" t="s">
        <v>23</v>
      </c>
      <c r="D27" s="5" t="s">
        <v>19</v>
      </c>
      <c r="E27" s="5">
        <v>6</v>
      </c>
      <c r="F27" s="7" t="s">
        <v>20</v>
      </c>
    </row>
    <row r="28" spans="1:6" ht="22.8" customHeight="1" x14ac:dyDescent="0.3">
      <c r="A28" s="8">
        <v>9</v>
      </c>
      <c r="B28" s="9" t="s">
        <v>24</v>
      </c>
      <c r="C28" s="27" t="s">
        <v>18</v>
      </c>
      <c r="D28" s="8" t="s">
        <v>10</v>
      </c>
      <c r="E28" s="8">
        <v>4</v>
      </c>
      <c r="F28" s="10" t="s">
        <v>20</v>
      </c>
    </row>
    <row r="29" spans="1:6" ht="22.8" customHeight="1" x14ac:dyDescent="0.3">
      <c r="A29" s="8">
        <v>10</v>
      </c>
      <c r="B29" s="9" t="s">
        <v>24</v>
      </c>
      <c r="C29" s="27" t="s">
        <v>22</v>
      </c>
      <c r="D29" s="8" t="s">
        <v>10</v>
      </c>
      <c r="E29" s="8">
        <v>2</v>
      </c>
      <c r="F29" s="10" t="s">
        <v>20</v>
      </c>
    </row>
    <row r="30" spans="1:6" ht="32.4" customHeight="1" x14ac:dyDescent="0.3">
      <c r="A30" s="41" t="s">
        <v>118</v>
      </c>
      <c r="B30" s="42"/>
      <c r="C30" s="42"/>
      <c r="D30" s="42"/>
      <c r="E30" s="22">
        <f>SUM(E20:E29)</f>
        <v>727</v>
      </c>
      <c r="F30" s="23"/>
    </row>
    <row r="31" spans="1:6" x14ac:dyDescent="0.3">
      <c r="A31" s="28" t="s">
        <v>2</v>
      </c>
      <c r="B31" s="24" t="s">
        <v>3</v>
      </c>
      <c r="C31" s="24" t="s">
        <v>4</v>
      </c>
      <c r="D31" s="24" t="s">
        <v>5</v>
      </c>
      <c r="E31" s="28" t="s">
        <v>120</v>
      </c>
      <c r="F31" s="24" t="s">
        <v>7</v>
      </c>
    </row>
    <row r="32" spans="1:6" ht="25.8" customHeight="1" x14ac:dyDescent="0.3">
      <c r="A32" s="2" cm="1">
        <f t="array" aca="1" ref="A32" ca="1">A31:F41</f>
        <v>0</v>
      </c>
      <c r="B32" s="3" t="s">
        <v>8</v>
      </c>
      <c r="C32" s="4" t="s">
        <v>9</v>
      </c>
      <c r="D32" s="2" t="s">
        <v>10</v>
      </c>
      <c r="E32" s="2">
        <v>27</v>
      </c>
      <c r="F32" s="36" t="s">
        <v>125</v>
      </c>
    </row>
    <row r="33" spans="1:6" ht="32.4" customHeight="1" x14ac:dyDescent="0.3">
      <c r="A33" s="2">
        <v>2</v>
      </c>
      <c r="B33" s="3" t="s">
        <v>8</v>
      </c>
      <c r="C33" s="4" t="s">
        <v>12</v>
      </c>
      <c r="D33" s="2" t="s">
        <v>10</v>
      </c>
      <c r="E33" s="2">
        <v>0</v>
      </c>
      <c r="F33" s="35" t="s">
        <v>124</v>
      </c>
    </row>
    <row r="34" spans="1:6" ht="34.200000000000003" customHeight="1" x14ac:dyDescent="0.3">
      <c r="A34" s="2">
        <v>3</v>
      </c>
      <c r="B34" s="3" t="s">
        <v>8</v>
      </c>
      <c r="C34" s="4" t="s">
        <v>13</v>
      </c>
      <c r="D34" s="2" t="s">
        <v>10</v>
      </c>
      <c r="E34" s="2">
        <v>0</v>
      </c>
      <c r="F34" s="36" t="s">
        <v>125</v>
      </c>
    </row>
    <row r="35" spans="1:6" ht="25.8" customHeight="1" x14ac:dyDescent="0.3">
      <c r="A35" s="2">
        <v>4</v>
      </c>
      <c r="B35" s="3" t="s">
        <v>8</v>
      </c>
      <c r="C35" s="4" t="s">
        <v>16</v>
      </c>
      <c r="D35" s="2" t="s">
        <v>10</v>
      </c>
      <c r="E35" s="2">
        <v>24</v>
      </c>
      <c r="F35" s="36" t="s">
        <v>125</v>
      </c>
    </row>
    <row r="36" spans="1:6" ht="24.6" customHeight="1" x14ac:dyDescent="0.3">
      <c r="A36" s="5">
        <v>5</v>
      </c>
      <c r="B36" s="6" t="s">
        <v>17</v>
      </c>
      <c r="C36" s="26" t="s">
        <v>18</v>
      </c>
      <c r="D36" s="5" t="s">
        <v>19</v>
      </c>
      <c r="E36" s="5">
        <v>28</v>
      </c>
      <c r="F36" s="36" t="s">
        <v>125</v>
      </c>
    </row>
    <row r="37" spans="1:6" ht="31.8" customHeight="1" x14ac:dyDescent="0.3">
      <c r="A37" s="5">
        <v>6</v>
      </c>
      <c r="B37" s="6" t="s">
        <v>17</v>
      </c>
      <c r="C37" s="26" t="s">
        <v>21</v>
      </c>
      <c r="D37" s="5" t="s">
        <v>19</v>
      </c>
      <c r="E37" s="5">
        <v>0</v>
      </c>
      <c r="F37" s="36" t="s">
        <v>125</v>
      </c>
    </row>
    <row r="38" spans="1:6" ht="31.8" customHeight="1" x14ac:dyDescent="0.3">
      <c r="A38" s="5">
        <v>7</v>
      </c>
      <c r="B38" s="6" t="s">
        <v>17</v>
      </c>
      <c r="C38" s="26" t="s">
        <v>22</v>
      </c>
      <c r="D38" s="5" t="s">
        <v>19</v>
      </c>
      <c r="E38" s="5">
        <v>6</v>
      </c>
      <c r="F38" s="36" t="s">
        <v>125</v>
      </c>
    </row>
    <row r="39" spans="1:6" ht="40.200000000000003" customHeight="1" x14ac:dyDescent="0.3">
      <c r="A39" s="5">
        <v>8</v>
      </c>
      <c r="B39" s="6" t="s">
        <v>17</v>
      </c>
      <c r="C39" s="26" t="s">
        <v>23</v>
      </c>
      <c r="D39" s="5" t="s">
        <v>19</v>
      </c>
      <c r="E39" s="5">
        <v>5</v>
      </c>
      <c r="F39" s="36" t="s">
        <v>125</v>
      </c>
    </row>
    <row r="40" spans="1:6" ht="40.200000000000003" customHeight="1" x14ac:dyDescent="0.3">
      <c r="A40" s="8">
        <v>9</v>
      </c>
      <c r="B40" s="9" t="s">
        <v>24</v>
      </c>
      <c r="C40" s="27" t="s">
        <v>18</v>
      </c>
      <c r="D40" s="8" t="s">
        <v>10</v>
      </c>
      <c r="E40" s="8">
        <v>1</v>
      </c>
      <c r="F40" s="36" t="s">
        <v>125</v>
      </c>
    </row>
    <row r="41" spans="1:6" ht="27" customHeight="1" x14ac:dyDescent="0.3">
      <c r="A41" s="8">
        <v>10</v>
      </c>
      <c r="B41" s="9" t="s">
        <v>24</v>
      </c>
      <c r="C41" s="27" t="s">
        <v>22</v>
      </c>
      <c r="D41" s="8" t="s">
        <v>10</v>
      </c>
      <c r="E41" s="8">
        <v>1</v>
      </c>
      <c r="F41" s="36" t="s">
        <v>125</v>
      </c>
    </row>
    <row r="42" spans="1:6" ht="25.8" customHeight="1" x14ac:dyDescent="0.3">
      <c r="A42" s="44" t="s">
        <v>119</v>
      </c>
      <c r="B42" s="42"/>
      <c r="C42" s="42"/>
      <c r="D42" s="42"/>
      <c r="E42" s="22">
        <f>SUM(E32:E41)</f>
        <v>92</v>
      </c>
      <c r="F42" s="23"/>
    </row>
  </sheetData>
  <mergeCells count="5">
    <mergeCell ref="A2:F2"/>
    <mergeCell ref="A18:D18"/>
    <mergeCell ref="A1:F1"/>
    <mergeCell ref="A30:D30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="130" zoomScaleNormal="130" workbookViewId="0">
      <selection activeCell="B12" sqref="B12"/>
    </sheetView>
  </sheetViews>
  <sheetFormatPr defaultRowHeight="14.4" x14ac:dyDescent="0.3"/>
  <cols>
    <col min="1" max="1" width="28" customWidth="1"/>
    <col min="2" max="2" width="58" customWidth="1"/>
    <col min="3" max="3" width="14" customWidth="1"/>
  </cols>
  <sheetData>
    <row r="1" spans="1:3" ht="28.05" customHeight="1" x14ac:dyDescent="0.3">
      <c r="A1" s="37" t="s">
        <v>26</v>
      </c>
      <c r="B1" s="38"/>
      <c r="C1" s="38"/>
    </row>
    <row r="2" spans="1:3" ht="22.05" customHeight="1" x14ac:dyDescent="0.3">
      <c r="A2" s="1" t="s">
        <v>27</v>
      </c>
      <c r="B2" s="1" t="s">
        <v>28</v>
      </c>
      <c r="C2" s="1" t="s">
        <v>29</v>
      </c>
    </row>
    <row r="3" spans="1:3" ht="24" customHeight="1" x14ac:dyDescent="0.3">
      <c r="A3" s="3" t="s">
        <v>30</v>
      </c>
      <c r="B3" s="4" t="s">
        <v>31</v>
      </c>
      <c r="C3" s="2">
        <v>816</v>
      </c>
    </row>
    <row r="4" spans="1:3" ht="24" customHeight="1" x14ac:dyDescent="0.3">
      <c r="A4" s="6" t="s">
        <v>32</v>
      </c>
      <c r="B4" s="7" t="s">
        <v>33</v>
      </c>
      <c r="C4" s="5">
        <v>642</v>
      </c>
    </row>
    <row r="5" spans="1:3" ht="32.4" customHeight="1" x14ac:dyDescent="0.3">
      <c r="A5" s="34" t="s">
        <v>121</v>
      </c>
      <c r="B5" s="10" t="s">
        <v>35</v>
      </c>
      <c r="C5" s="8">
        <v>92</v>
      </c>
    </row>
    <row r="6" spans="1:3" ht="24" customHeight="1" x14ac:dyDescent="0.3">
      <c r="A6" s="11" t="s">
        <v>36</v>
      </c>
      <c r="B6" s="12" t="s">
        <v>37</v>
      </c>
      <c r="C6" s="13">
        <v>72</v>
      </c>
    </row>
    <row r="7" spans="1:3" ht="24" customHeight="1" x14ac:dyDescent="0.3">
      <c r="A7" s="33" t="s">
        <v>122</v>
      </c>
      <c r="B7" s="30" t="s">
        <v>38</v>
      </c>
      <c r="C7" s="14" t="s">
        <v>34</v>
      </c>
    </row>
    <row r="8" spans="1:3" ht="24" customHeight="1" x14ac:dyDescent="0.3">
      <c r="A8" s="32" t="s">
        <v>123</v>
      </c>
      <c r="B8" s="29" t="s">
        <v>39</v>
      </c>
      <c r="C8" s="31" t="s">
        <v>34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7"/>
  <sheetViews>
    <sheetView topLeftCell="B1" workbookViewId="0">
      <selection sqref="A1:K1"/>
    </sheetView>
  </sheetViews>
  <sheetFormatPr defaultRowHeight="14.4" x14ac:dyDescent="0.3"/>
  <cols>
    <col min="1" max="1" width="4" customWidth="1"/>
    <col min="2" max="2" width="40" customWidth="1"/>
    <col min="3" max="3" width="22" customWidth="1"/>
    <col min="4" max="4" width="6" customWidth="1"/>
    <col min="5" max="5" width="16" customWidth="1"/>
    <col min="6" max="6" width="24" customWidth="1"/>
    <col min="7" max="7" width="16" customWidth="1"/>
    <col min="8" max="8" width="20" customWidth="1"/>
    <col min="9" max="9" width="18" customWidth="1"/>
    <col min="10" max="10" width="36" customWidth="1"/>
    <col min="11" max="11" width="14" customWidth="1"/>
  </cols>
  <sheetData>
    <row r="1" spans="1:11" ht="28.05" customHeight="1" x14ac:dyDescent="0.3">
      <c r="A1" s="37" t="s">
        <v>40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6" customHeight="1" x14ac:dyDescent="0.3">
      <c r="A2" s="15" t="s">
        <v>2</v>
      </c>
      <c r="B2" s="15" t="s">
        <v>10</v>
      </c>
      <c r="C2" s="15" t="s">
        <v>41</v>
      </c>
      <c r="D2" s="15" t="s">
        <v>42</v>
      </c>
      <c r="E2" s="15" t="s">
        <v>3</v>
      </c>
      <c r="F2" s="15" t="s">
        <v>43</v>
      </c>
      <c r="G2" s="15" t="s">
        <v>44</v>
      </c>
      <c r="H2" s="15" t="s">
        <v>45</v>
      </c>
      <c r="I2" s="15" t="s">
        <v>46</v>
      </c>
      <c r="J2" s="15" t="s">
        <v>47</v>
      </c>
      <c r="K2" s="15" t="s">
        <v>48</v>
      </c>
    </row>
    <row r="3" spans="1:11" ht="30" customHeight="1" x14ac:dyDescent="0.3">
      <c r="A3" s="16">
        <v>1</v>
      </c>
      <c r="B3" s="17"/>
      <c r="C3" s="17" t="s">
        <v>49</v>
      </c>
      <c r="D3" s="16">
        <v>2022</v>
      </c>
      <c r="E3" s="17" t="s">
        <v>8</v>
      </c>
      <c r="F3" s="17" t="s">
        <v>50</v>
      </c>
      <c r="G3" s="16" t="s">
        <v>51</v>
      </c>
      <c r="H3" s="17" t="s">
        <v>52</v>
      </c>
      <c r="I3" s="17" t="s">
        <v>53</v>
      </c>
      <c r="J3" s="17" t="s">
        <v>54</v>
      </c>
      <c r="K3" s="18" t="s">
        <v>55</v>
      </c>
    </row>
    <row r="4" spans="1:11" ht="30" customHeight="1" x14ac:dyDescent="0.3">
      <c r="A4" s="19">
        <v>2</v>
      </c>
      <c r="B4" s="20"/>
      <c r="C4" s="20" t="s">
        <v>56</v>
      </c>
      <c r="D4" s="19">
        <v>2020</v>
      </c>
      <c r="E4" s="20" t="s">
        <v>8</v>
      </c>
      <c r="F4" s="20" t="s">
        <v>57</v>
      </c>
      <c r="G4" s="19" t="s">
        <v>58</v>
      </c>
      <c r="H4" s="20" t="s">
        <v>59</v>
      </c>
      <c r="I4" s="20" t="s">
        <v>60</v>
      </c>
      <c r="J4" s="20" t="s">
        <v>61</v>
      </c>
      <c r="K4" s="18" t="s">
        <v>55</v>
      </c>
    </row>
    <row r="5" spans="1:11" ht="30" customHeight="1" x14ac:dyDescent="0.3">
      <c r="A5" s="16">
        <v>3</v>
      </c>
      <c r="B5" s="17"/>
      <c r="C5" s="17" t="s">
        <v>62</v>
      </c>
      <c r="D5" s="16">
        <v>2019</v>
      </c>
      <c r="E5" s="17" t="s">
        <v>8</v>
      </c>
      <c r="F5" s="17" t="s">
        <v>63</v>
      </c>
      <c r="G5" s="16" t="s">
        <v>64</v>
      </c>
      <c r="H5" s="17" t="s">
        <v>65</v>
      </c>
      <c r="I5" s="17" t="s">
        <v>66</v>
      </c>
      <c r="J5" s="17" t="s">
        <v>67</v>
      </c>
      <c r="K5" s="18" t="s">
        <v>55</v>
      </c>
    </row>
    <row r="6" spans="1:11" ht="30" customHeight="1" x14ac:dyDescent="0.3">
      <c r="A6" s="19">
        <v>4</v>
      </c>
      <c r="B6" s="20"/>
      <c r="C6" s="20" t="s">
        <v>68</v>
      </c>
      <c r="D6" s="19">
        <v>2023</v>
      </c>
      <c r="E6" s="20" t="s">
        <v>8</v>
      </c>
      <c r="F6" s="20" t="s">
        <v>69</v>
      </c>
      <c r="G6" s="19" t="s">
        <v>64</v>
      </c>
      <c r="H6" s="20" t="s">
        <v>70</v>
      </c>
      <c r="I6" s="20" t="s">
        <v>71</v>
      </c>
      <c r="J6" s="20" t="s">
        <v>72</v>
      </c>
      <c r="K6" s="18" t="s">
        <v>55</v>
      </c>
    </row>
    <row r="7" spans="1:11" ht="30" customHeight="1" x14ac:dyDescent="0.3">
      <c r="A7" s="16">
        <v>5</v>
      </c>
      <c r="B7" s="17"/>
      <c r="C7" s="17" t="s">
        <v>73</v>
      </c>
      <c r="D7" s="16">
        <v>2019</v>
      </c>
      <c r="E7" s="17" t="s">
        <v>8</v>
      </c>
      <c r="F7" s="17" t="s">
        <v>74</v>
      </c>
      <c r="G7" s="16" t="s">
        <v>75</v>
      </c>
      <c r="H7" s="17" t="s">
        <v>59</v>
      </c>
      <c r="I7" s="17" t="s">
        <v>60</v>
      </c>
      <c r="J7" s="17" t="s">
        <v>76</v>
      </c>
      <c r="K7" s="18" t="s">
        <v>55</v>
      </c>
    </row>
    <row r="8" spans="1:11" ht="30" customHeight="1" x14ac:dyDescent="0.3">
      <c r="A8" s="19">
        <v>6</v>
      </c>
      <c r="B8" s="20"/>
      <c r="C8" s="20" t="s">
        <v>77</v>
      </c>
      <c r="D8" s="19">
        <v>2020</v>
      </c>
      <c r="E8" s="20" t="s">
        <v>8</v>
      </c>
      <c r="F8" s="20" t="s">
        <v>78</v>
      </c>
      <c r="G8" s="19" t="s">
        <v>75</v>
      </c>
      <c r="H8" s="20" t="s">
        <v>79</v>
      </c>
      <c r="I8" s="20" t="s">
        <v>75</v>
      </c>
      <c r="J8" s="20" t="s">
        <v>80</v>
      </c>
      <c r="K8" s="18" t="s">
        <v>55</v>
      </c>
    </row>
    <row r="9" spans="1:11" ht="30" customHeight="1" x14ac:dyDescent="0.3">
      <c r="A9" s="16">
        <v>7</v>
      </c>
      <c r="B9" s="17"/>
      <c r="C9" s="17" t="s">
        <v>81</v>
      </c>
      <c r="D9" s="16">
        <v>2021</v>
      </c>
      <c r="E9" s="17" t="s">
        <v>8</v>
      </c>
      <c r="F9" s="17" t="s">
        <v>82</v>
      </c>
      <c r="G9" s="16" t="s">
        <v>83</v>
      </c>
      <c r="H9" s="17" t="s">
        <v>84</v>
      </c>
      <c r="I9" s="17" t="s">
        <v>60</v>
      </c>
      <c r="J9" s="17" t="s">
        <v>85</v>
      </c>
      <c r="K9" s="18" t="s">
        <v>55</v>
      </c>
    </row>
    <row r="10" spans="1:11" ht="30" customHeight="1" x14ac:dyDescent="0.3">
      <c r="A10" s="19">
        <v>8</v>
      </c>
      <c r="B10" s="20"/>
      <c r="C10" s="20" t="s">
        <v>86</v>
      </c>
      <c r="D10" s="19">
        <v>2023</v>
      </c>
      <c r="E10" s="20" t="s">
        <v>8</v>
      </c>
      <c r="F10" s="20" t="s">
        <v>87</v>
      </c>
      <c r="G10" s="19" t="s">
        <v>88</v>
      </c>
      <c r="H10" s="20" t="s">
        <v>59</v>
      </c>
      <c r="I10" s="20" t="s">
        <v>60</v>
      </c>
      <c r="J10" s="20" t="s">
        <v>89</v>
      </c>
      <c r="K10" s="18" t="s">
        <v>55</v>
      </c>
    </row>
    <row r="11" spans="1:11" ht="30" customHeight="1" x14ac:dyDescent="0.3">
      <c r="A11" s="16">
        <v>9</v>
      </c>
      <c r="B11" s="17"/>
      <c r="C11" s="17" t="s">
        <v>90</v>
      </c>
      <c r="D11" s="16">
        <v>2017</v>
      </c>
      <c r="E11" s="17" t="s">
        <v>8</v>
      </c>
      <c r="F11" s="17" t="s">
        <v>91</v>
      </c>
      <c r="G11" s="16" t="s">
        <v>92</v>
      </c>
      <c r="H11" s="17" t="s">
        <v>93</v>
      </c>
      <c r="I11" s="17" t="s">
        <v>94</v>
      </c>
      <c r="J11" s="17" t="s">
        <v>95</v>
      </c>
      <c r="K11" s="18" t="s">
        <v>96</v>
      </c>
    </row>
    <row r="12" spans="1:11" ht="30" customHeight="1" x14ac:dyDescent="0.3">
      <c r="A12" s="19">
        <v>10</v>
      </c>
      <c r="B12" s="20"/>
      <c r="C12" s="20" t="s">
        <v>97</v>
      </c>
      <c r="D12" s="19">
        <v>2021</v>
      </c>
      <c r="E12" s="20" t="s">
        <v>8</v>
      </c>
      <c r="F12" s="20" t="s">
        <v>98</v>
      </c>
      <c r="G12" s="19" t="s">
        <v>75</v>
      </c>
      <c r="H12" s="20" t="s">
        <v>59</v>
      </c>
      <c r="I12" s="20" t="s">
        <v>99</v>
      </c>
      <c r="J12" s="20" t="s">
        <v>100</v>
      </c>
      <c r="K12" s="18" t="s">
        <v>55</v>
      </c>
    </row>
    <row r="13" spans="1:11" ht="30" customHeight="1" x14ac:dyDescent="0.3">
      <c r="A13" s="16">
        <v>11</v>
      </c>
      <c r="B13" s="17"/>
      <c r="C13" s="17" t="s">
        <v>101</v>
      </c>
      <c r="D13" s="16">
        <v>2023</v>
      </c>
      <c r="E13" s="17" t="s">
        <v>8</v>
      </c>
      <c r="F13" s="17" t="s">
        <v>50</v>
      </c>
      <c r="G13" s="16" t="s">
        <v>51</v>
      </c>
      <c r="H13" s="17" t="s">
        <v>102</v>
      </c>
      <c r="I13" s="17" t="s">
        <v>94</v>
      </c>
      <c r="J13" s="17" t="s">
        <v>103</v>
      </c>
      <c r="K13" s="17" t="s">
        <v>104</v>
      </c>
    </row>
    <row r="14" spans="1:11" ht="30" customHeight="1" x14ac:dyDescent="0.3">
      <c r="A14" s="19">
        <v>12</v>
      </c>
      <c r="B14" s="20"/>
      <c r="C14" s="20" t="s">
        <v>105</v>
      </c>
      <c r="D14" s="19">
        <v>2025</v>
      </c>
      <c r="E14" s="20" t="s">
        <v>8</v>
      </c>
      <c r="F14" s="20" t="s">
        <v>106</v>
      </c>
      <c r="G14" s="19" t="s">
        <v>88</v>
      </c>
      <c r="H14" s="20" t="s">
        <v>59</v>
      </c>
      <c r="I14" s="20" t="s">
        <v>94</v>
      </c>
      <c r="J14" s="20" t="s">
        <v>107</v>
      </c>
      <c r="K14" s="18" t="s">
        <v>108</v>
      </c>
    </row>
    <row r="15" spans="1:11" ht="30" customHeight="1" x14ac:dyDescent="0.3">
      <c r="A15" s="16">
        <v>13</v>
      </c>
      <c r="B15" s="17"/>
      <c r="C15" s="17" t="s">
        <v>109</v>
      </c>
      <c r="D15" s="16">
        <v>2023</v>
      </c>
      <c r="E15" s="17" t="s">
        <v>8</v>
      </c>
      <c r="F15" s="17" t="s">
        <v>110</v>
      </c>
      <c r="G15" s="16" t="s">
        <v>88</v>
      </c>
      <c r="H15" s="17" t="s">
        <v>111</v>
      </c>
      <c r="I15" s="17" t="s">
        <v>94</v>
      </c>
      <c r="J15" s="17" t="s">
        <v>112</v>
      </c>
      <c r="K15" s="17" t="s">
        <v>104</v>
      </c>
    </row>
    <row r="16" spans="1:11" ht="30" customHeight="1" x14ac:dyDescent="0.3">
      <c r="A16" s="19">
        <v>14</v>
      </c>
      <c r="B16" s="20"/>
      <c r="C16" s="20" t="s">
        <v>113</v>
      </c>
      <c r="D16" s="19">
        <v>2023</v>
      </c>
      <c r="E16" s="20" t="s">
        <v>8</v>
      </c>
      <c r="F16" s="20" t="s">
        <v>114</v>
      </c>
      <c r="G16" s="19" t="s">
        <v>88</v>
      </c>
      <c r="H16" s="20" t="s">
        <v>115</v>
      </c>
      <c r="I16" s="20" t="s">
        <v>116</v>
      </c>
      <c r="J16" s="20" t="s">
        <v>117</v>
      </c>
      <c r="K16" s="18" t="s">
        <v>55</v>
      </c>
    </row>
    <row r="17" spans="1:11" ht="25.05" customHeight="1" x14ac:dyDescent="0.3">
      <c r="A17" s="21">
        <v>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25.05" customHeight="1" x14ac:dyDescent="0.3">
      <c r="A18" s="21">
        <v>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25.05" customHeight="1" x14ac:dyDescent="0.3">
      <c r="A19" s="21">
        <v>3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25.05" customHeight="1" x14ac:dyDescent="0.3">
      <c r="A20" s="21">
        <v>4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25.05" customHeight="1" x14ac:dyDescent="0.3">
      <c r="A21" s="21">
        <v>5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25.05" customHeight="1" x14ac:dyDescent="0.3">
      <c r="A22" s="21">
        <v>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25.05" customHeight="1" x14ac:dyDescent="0.3">
      <c r="A23" s="21">
        <v>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25.05" customHeight="1" x14ac:dyDescent="0.3">
      <c r="A24" s="21">
        <v>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25.05" customHeight="1" x14ac:dyDescent="0.3">
      <c r="A25" s="21">
        <v>9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25.05" customHeight="1" x14ac:dyDescent="0.3">
      <c r="A26" s="21">
        <v>10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25.05" customHeight="1" x14ac:dyDescent="0.3">
      <c r="A27" s="21">
        <v>11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 Log</vt:lpstr>
      <vt:lpstr>PRISMA Flow</vt:lpstr>
      <vt:lpstr>Paper Extraction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Atta-Fynn</cp:lastModifiedBy>
  <dcterms:created xsi:type="dcterms:W3CDTF">2026-03-22T04:14:10Z</dcterms:created>
  <dcterms:modified xsi:type="dcterms:W3CDTF">2026-04-12T12:36:07Z</dcterms:modified>
</cp:coreProperties>
</file>