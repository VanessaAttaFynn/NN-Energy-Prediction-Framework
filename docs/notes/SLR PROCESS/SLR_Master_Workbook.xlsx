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cuments\UGMSC\FYP\NN Energy Prediction Framework\docs\notes\SLR PROCESS\"/>
    </mc:Choice>
  </mc:AlternateContent>
  <xr:revisionPtr revIDLastSave="0" documentId="13_ncr:1_{EEE796C9-A883-4730-AB60-00FA7A280547}" xr6:coauthVersionLast="47" xr6:coauthVersionMax="47" xr10:uidLastSave="{00000000-0000-0000-0000-000000000000}"/>
  <bookViews>
    <workbookView xWindow="-108" yWindow="-108" windowWidth="23256" windowHeight="13896" firstSheet="13" activeTab="14" xr2:uid="{00000000-000D-0000-FFFF-FFFF00000000}"/>
  </bookViews>
  <sheets>
    <sheet name="README" sheetId="1" r:id="rId1"/>
    <sheet name="Taxonomy" sheetId="2" state="hidden" r:id="rId2"/>
    <sheet name="Databases" sheetId="3" r:id="rId3"/>
    <sheet name="Search Query Log" sheetId="5" r:id="rId4"/>
    <sheet name="PRISMA Flow" sheetId="6" state="hidden" r:id="rId5"/>
    <sheet name="ACM" sheetId="7" r:id="rId6"/>
    <sheet name="IEEE Xplore" sheetId="8" state="hidden" r:id="rId7"/>
    <sheet name="IEEE" sheetId="11" r:id="rId8"/>
    <sheet name="Science Direct" sheetId="9" r:id="rId9"/>
    <sheet name="Scopus" sheetId="10" r:id="rId10"/>
    <sheet name="Springer" sheetId="12" r:id="rId11"/>
    <sheet name="Web of Science" sheetId="13" r:id="rId12"/>
    <sheet name="Consolidated Pool" sheetId="14" r:id="rId13"/>
    <sheet name="Abstract Screening" sheetId="18" r:id="rId14"/>
    <sheet name="Final Selection" sheetId="15" r:id="rId15"/>
    <sheet name="Synthesis Notes" sheetId="16" state="hidden" r:id="rId16"/>
    <sheet name="Summary Statistics" sheetId="17" state="hidden"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18" l="1"/>
  <c r="C118" i="14"/>
  <c r="C119" i="14"/>
  <c r="C117" i="14"/>
  <c r="C103" i="7"/>
  <c r="C11" i="7"/>
  <c r="C6" i="7"/>
  <c r="C6" i="11"/>
  <c r="C33" i="11"/>
  <c r="C37" i="11"/>
  <c r="C42" i="11"/>
  <c r="C58" i="11"/>
  <c r="C58" i="12"/>
  <c r="C54" i="12"/>
  <c r="C37" i="12"/>
  <c r="C29" i="12"/>
  <c r="C187" i="9"/>
  <c r="C181" i="9"/>
  <c r="C188" i="9" s="1"/>
  <c r="C153" i="9"/>
  <c r="C189" i="9" s="1"/>
  <c r="C96" i="9"/>
  <c r="C138" i="8"/>
  <c r="C129" i="8"/>
  <c r="C103" i="8"/>
  <c r="C99" i="8"/>
  <c r="C105" i="7" l="1"/>
  <c r="C104" i="7"/>
  <c r="C59" i="12"/>
  <c r="C60" i="12"/>
  <c r="C60" i="11"/>
  <c r="C59" i="11"/>
</calcChain>
</file>

<file path=xl/sharedStrings.xml><?xml version="1.0" encoding="utf-8"?>
<sst xmlns="http://schemas.openxmlformats.org/spreadsheetml/2006/main" count="2497" uniqueCount="1035">
  <si>
    <t>SLR Master Workbook — Neural Network Training Energy Consumption Prediction</t>
  </si>
  <si>
    <t>Sheet Guide</t>
  </si>
  <si>
    <t>Sheet Name</t>
  </si>
  <si>
    <t>Purpose</t>
  </si>
  <si>
    <t>Status</t>
  </si>
  <si>
    <t>README</t>
  </si>
  <si>
    <t>This sheet. Overview of the workbook structure and how to use it.</t>
  </si>
  <si>
    <t>DONE</t>
  </si>
  <si>
    <t>Taxonomy</t>
  </si>
  <si>
    <t>Glossary of key terms, acronyms, and concepts used across the review.</t>
  </si>
  <si>
    <t>READY TO FILL</t>
  </si>
  <si>
    <t>Databases</t>
  </si>
  <si>
    <t>List of all 7 publishers/databases with search order, syntax notes, and access info.</t>
  </si>
  <si>
    <t>Query Builder</t>
  </si>
  <si>
    <t>Structured query construction per database. Build and validate queries here before running.</t>
  </si>
  <si>
    <t>Search Query Log</t>
  </si>
  <si>
    <t>Every query executed: database, query string, date run, and raw result count.</t>
  </si>
  <si>
    <t>PARTIAL — redo with new DBs</t>
  </si>
  <si>
    <t>PRISMA Flow</t>
  </si>
  <si>
    <t>Running PRISMA totals updated at each filtering stage. Source of truth for Section 3.</t>
  </si>
  <si>
    <t>PARTIAL — update after new searches</t>
  </si>
  <si>
    <t>ACM</t>
  </si>
  <si>
    <t>Raw title screening results from ACM Digital Library (Priority 1).</t>
  </si>
  <si>
    <t>IEEE Xplore</t>
  </si>
  <si>
    <t>Raw title screening results from IEEE Xplore (Priority 3).</t>
  </si>
  <si>
    <t>Science Direct</t>
  </si>
  <si>
    <t>Raw title screening results from Science Direct (Priority 4).</t>
  </si>
  <si>
    <t>EMPTY — to be searched</t>
  </si>
  <si>
    <t>Scopus</t>
  </si>
  <si>
    <t>Raw title screening results from Scopus (Priority 5).</t>
  </si>
  <si>
    <t>Elsevier</t>
  </si>
  <si>
    <t>Springer</t>
  </si>
  <si>
    <t>Raw title screening results from Springer (Priority 6).</t>
  </si>
  <si>
    <t>Web of Science</t>
  </si>
  <si>
    <t>Raw title screening results from Web of Science (Priority 7).</t>
  </si>
  <si>
    <t>Consolidated Pool</t>
  </si>
  <si>
    <t>All relevant papers merged across ALL databases. Duplicates flagged. Full visibility.</t>
  </si>
  <si>
    <t>EMPTY — rebuild after new searches</t>
  </si>
  <si>
    <t>Final Selection</t>
  </si>
  <si>
    <t>Deduplicated, screened, final corpus ready for synthesis. ~20-25 papers.</t>
  </si>
  <si>
    <t>EMPTY — rebuild after screening</t>
  </si>
  <si>
    <t>Synthesis Notes</t>
  </si>
  <si>
    <t>Running themes, patterns, contradictions, and key insights as papers are read.</t>
  </si>
  <si>
    <t>Summary Statistics</t>
  </si>
  <si>
    <t>Visual summary of paper counts at each PRISMA stage across all databases.</t>
  </si>
  <si>
    <t>Taxonomy — Key Terms, Acronyms and Concepts</t>
  </si>
  <si>
    <t>Term / Acronym</t>
  </si>
  <si>
    <t>Full Form</t>
  </si>
  <si>
    <t>Definition</t>
  </si>
  <si>
    <t>First Seen In</t>
  </si>
  <si>
    <t>SLR</t>
  </si>
  <si>
    <t>Systematic Literature Review</t>
  </si>
  <si>
    <t>A structured, reproducible review of literature following a defined protocol (Kitchenham &amp; Charters, 2007).</t>
  </si>
  <si>
    <t>Section 2</t>
  </si>
  <si>
    <t>PRISMA</t>
  </si>
  <si>
    <t>Preferred Reporting Items for Systematic Reviews and Meta-Analyses</t>
  </si>
  <si>
    <t>A reporting standard ensuring the search and selection process is transparent and reproducible.</t>
  </si>
  <si>
    <t>A priori</t>
  </si>
  <si>
    <t>Before the fact / Before training begins</t>
  </si>
  <si>
    <t>Prediction made using only pre-training features — no computation required. Central concept of this review.</t>
  </si>
  <si>
    <t>Research Question</t>
  </si>
  <si>
    <t>Green AI</t>
  </si>
  <si>
    <t>Green Artificial Intelligence</t>
  </si>
  <si>
    <t>AI research that prioritises energy efficiency alongside accuracy, as opposed to Red AI which prioritises accuracy at any compute cost (Schwartz et al., 2020).</t>
  </si>
  <si>
    <t>Background</t>
  </si>
  <si>
    <t>Red AI</t>
  </si>
  <si>
    <t>Resource-intensive AI</t>
  </si>
  <si>
    <t>AI development paradigm that maximises accuracy regardless of computational cost.</t>
  </si>
  <si>
    <t>FLOPs</t>
  </si>
  <si>
    <t>Floating Point Operations</t>
  </si>
  <si>
    <t>A measure of computational complexity. Used as a proxy for energy consumption in analytical estimation models.</t>
  </si>
  <si>
    <t>Literature Review</t>
  </si>
  <si>
    <t>TDP</t>
  </si>
  <si>
    <t>Thermal Design Power</t>
  </si>
  <si>
    <t>Maximum heat a CPU/GPU cooling system is designed to dissipate. Used as a proxy for power consumption.</t>
  </si>
  <si>
    <t>RAPL</t>
  </si>
  <si>
    <t>Running Average Power Limit</t>
  </si>
  <si>
    <t>Intel on-chip power sensor providing CPU and DRAM energy readings. Used by tools like CarbonTracker and CodeCarbon.</t>
  </si>
  <si>
    <t>NVML</t>
  </si>
  <si>
    <t>NVIDIA Management Library</t>
  </si>
  <si>
    <t>NVIDIA on-chip sensor providing GPU power readings.</t>
  </si>
  <si>
    <t>NAS</t>
  </si>
  <si>
    <t>Neural Architecture Search</t>
  </si>
  <si>
    <t>Automated process of finding optimal neural network architectures. Extremely energy-intensive.</t>
  </si>
  <si>
    <t>MLP</t>
  </si>
  <si>
    <t>Multi-Layer Perceptron</t>
  </si>
  <si>
    <t>Fully connected neural network. One of the two architecture families in the BUTTER-E dataset.</t>
  </si>
  <si>
    <t>Methodology</t>
  </si>
  <si>
    <t>CNN</t>
  </si>
  <si>
    <t>Convolutional Neural Network</t>
  </si>
  <si>
    <t>Neural network using convolutional layers. One of the two architecture families in the EC-NAS dataset.</t>
  </si>
  <si>
    <t>BUTTER-E</t>
  </si>
  <si>
    <t>Benchmarking Unregularized Training of Energy-Efficient neural networks</t>
  </si>
  <si>
    <t>Dataset of 63,527 MLP training runs with hardware watt-meter energy measurements (Tripp et al., 2024).</t>
  </si>
  <si>
    <t>EC-NAS</t>
  </si>
  <si>
    <t>Energy Consumption Neural Architecture Search benchmark</t>
  </si>
  <si>
    <t>Dataset of ~423,000 CNN architectures with energy measurements based on NAS-Bench-101 (Bakhtiarifard et al., 2024).</t>
  </si>
  <si>
    <t>SHAP</t>
  </si>
  <si>
    <t>SHapley Additive exPlanations</t>
  </si>
  <si>
    <t>Method for explaining ML model predictions by attributing importance to each feature.</t>
  </si>
  <si>
    <t>MAE</t>
  </si>
  <si>
    <t>Mean Absolute Error</t>
  </si>
  <si>
    <t>Average absolute difference between predicted and actual values. Primary evaluation metric.</t>
  </si>
  <si>
    <t>RMSE</t>
  </si>
  <si>
    <t>Root Mean Squared Error</t>
  </si>
  <si>
    <t>Square root of average squared differences. Penalises large errors more than MAE.</t>
  </si>
  <si>
    <t>MAPE</t>
  </si>
  <si>
    <t>Mean Absolute Percentage Error</t>
  </si>
  <si>
    <t>MAE expressed as a percentage of actual values. Useful for scale-independent comparison.</t>
  </si>
  <si>
    <t>EPM</t>
  </si>
  <si>
    <t>External Power Meter</t>
  </si>
  <si>
    <t>Hardware device measuring actual power draw at the outlet. Ground truth for energy measurement.</t>
  </si>
  <si>
    <t>GNN</t>
  </si>
  <si>
    <t>Graph Neural Network</t>
  </si>
  <si>
    <t>Neural network operating on graph-structured data. Used by NeurstrucEnergy for topology-aware energy prediction.</t>
  </si>
  <si>
    <t>Databases &amp; Publishers — Search Order and Syntax Reference</t>
  </si>
  <si>
    <t>Ordered by priority as agreed with supervisor. Use query syntax notes when building queries in the Query Builder sheet.</t>
  </si>
  <si>
    <t>Priority</t>
  </si>
  <si>
    <t>Database / Publisher</t>
  </si>
  <si>
    <t>URL</t>
  </si>
  <si>
    <t>Title Search Syntax</t>
  </si>
  <si>
    <t>Boolean Operators</t>
  </si>
  <si>
    <t>Date Filter</t>
  </si>
  <si>
    <t>Notes</t>
  </si>
  <si>
    <t>ACM Digital Library</t>
  </si>
  <si>
    <t>dl.acm.org</t>
  </si>
  <si>
    <t>[Title: "term"]</t>
  </si>
  <si>
    <t>AND, OR, NOT</t>
  </si>
  <si>
    <t>elsevier.com / via Scopus</t>
  </si>
  <si>
    <t>TITLE(term)</t>
  </si>
  <si>
    <t>AND, OR, AND NOT</t>
  </si>
  <si>
    <t>ieeexplore.ieee.org</t>
  </si>
  <si>
    <t>"Document Title": term</t>
  </si>
  <si>
    <t>sciencedirect.com</t>
  </si>
  <si>
    <t>scopus.com</t>
  </si>
  <si>
    <t>link.springer.com</t>
  </si>
  <si>
    <t>title:"term"</t>
  </si>
  <si>
    <t>webofscience.com</t>
  </si>
  <si>
    <t>TI=term</t>
  </si>
  <si>
    <t>Query ID</t>
  </si>
  <si>
    <t>Search Query Log — All Executed Searches</t>
  </si>
  <si>
    <t>#</t>
  </si>
  <si>
    <t>Date Run</t>
  </si>
  <si>
    <t>Database</t>
  </si>
  <si>
    <t>Query String (as executed)</t>
  </si>
  <si>
    <t>Field Searched</t>
  </si>
  <si>
    <t>Results Returned</t>
  </si>
  <si>
    <t>Feb 2026</t>
  </si>
  <si>
    <t>Google Scholar</t>
  </si>
  <si>
    <t>GS-Q1</t>
  </si>
  <si>
    <t>allintitle: "deep learning" "energy consumption" prediction</t>
  </si>
  <si>
    <t>Title (allintitle:)</t>
  </si>
  <si>
    <t>PREVIOUS SEARCH — to be redone with publisher databases</t>
  </si>
  <si>
    <t>GS-Q2</t>
  </si>
  <si>
    <t>allintitle: "deep learning" "energy consumption"</t>
  </si>
  <si>
    <t>GS-Q3</t>
  </si>
  <si>
    <t>allintitle: "energy consumption" "neural network training"</t>
  </si>
  <si>
    <t>GS-Q4</t>
  </si>
  <si>
    <t>allintitle: "power consumption" "neural network" training</t>
  </si>
  <si>
    <t>PREVIOUS SEARCH — 0 results, field uses energy not power</t>
  </si>
  <si>
    <t>GS-Q5</t>
  </si>
  <si>
    <t>allintitle: "carbon footprint" "deep learning"</t>
  </si>
  <si>
    <t>IEEE-Q1</t>
  </si>
  <si>
    <t>"deep learning" AND "energy consumption"</t>
  </si>
  <si>
    <t>Document Title</t>
  </si>
  <si>
    <t>PREVIOUS SEARCH — retain, re-verify with new queries</t>
  </si>
  <si>
    <t>IEEE-Q2</t>
  </si>
  <si>
    <t>"neural network" AND "energy consumption" AND training</t>
  </si>
  <si>
    <t>PREVIOUS SEARCH — retain, re-verify</t>
  </si>
  <si>
    <t>IEEE-Q3</t>
  </si>
  <si>
    <t>"deep learning" AND "energy consumption" AND prediction</t>
  </si>
  <si>
    <t>IEEE-Q4</t>
  </si>
  <si>
    <t>"carbon footprint" AND "deep learning"</t>
  </si>
  <si>
    <t>ACM-Q1</t>
  </si>
  <si>
    <t>Title</t>
  </si>
  <si>
    <t>ACM-Q2</t>
  </si>
  <si>
    <t>PREVIOUS SEARCH — 0 results</t>
  </si>
  <si>
    <t>ACM-Q3</t>
  </si>
  <si>
    <t>ACM-Q4</t>
  </si>
  <si>
    <t>PRISMA Flow — Running Paper Count at Each Selection Stage</t>
  </si>
  <si>
    <t>Update counts as each stage is completed. This is the source of truth for Section 3 of the systematic review document.</t>
  </si>
  <si>
    <t>Stage 1 — Identification (Initial Search)</t>
  </si>
  <si>
    <t>Previous Count</t>
  </si>
  <si>
    <t>New Count (after redo)</t>
  </si>
  <si>
    <t>TBD</t>
  </si>
  <si>
    <t>—</t>
  </si>
  <si>
    <t>Google Scholar (retired)</t>
  </si>
  <si>
    <t>816</t>
  </si>
  <si>
    <t>Not used in new protocol</t>
  </si>
  <si>
    <t>Retired — Google Scholar not a publisher database</t>
  </si>
  <si>
    <t>Stages 2–7 — Filtering and Selection</t>
  </si>
  <si>
    <t>Stage</t>
  </si>
  <si>
    <t>Papers Remaining</t>
  </si>
  <si>
    <t>Reason for Exclusion</t>
  </si>
  <si>
    <t>Date Completed</t>
  </si>
  <si>
    <t>Stage 2 — After Date Filter (2018–2025)</t>
  </si>
  <si>
    <t>Remove papers published before 2018</t>
  </si>
  <si>
    <t>Stage 3 — After Exclusion Keywords</t>
  </si>
  <si>
    <t>Remove off-topic results by title keyword</t>
  </si>
  <si>
    <t>Stage 4 — After Deduplication</t>
  </si>
  <si>
    <t>Remove papers appearing in 2+ databases</t>
  </si>
  <si>
    <t>Stage 5 — After Title Screening</t>
  </si>
  <si>
    <t>Manual title review — remove irrelevant</t>
  </si>
  <si>
    <t>Stage 6 — After Abstract Screening</t>
  </si>
  <si>
    <t>Read abstracts — apply inclusion/exclusion criteria</t>
  </si>
  <si>
    <t>Stage 7 — Final Selection</t>
  </si>
  <si>
    <t>~20–25</t>
  </si>
  <si>
    <t>Full text review — papers included in synthesis</t>
  </si>
  <si>
    <t>Is Irrelevant?
(YES/NO)</t>
  </si>
  <si>
    <t>IEEE Xplore — Title Screening (ieeexplore.ieee.org) | Priority 3</t>
  </si>
  <si>
    <t>Consolidated Pool — All Relevant Papers Across All Databases (Including Duplicates)</t>
  </si>
  <si>
    <t>Source Database</t>
  </si>
  <si>
    <t>Is Duplicate?</t>
  </si>
  <si>
    <t>Abstract Decision
(KEEP/EXCLUDE)</t>
  </si>
  <si>
    <t>Source DB</t>
  </si>
  <si>
    <t>Approach Type</t>
  </si>
  <si>
    <t>Timing
(A priori/During/Post)</t>
  </si>
  <si>
    <t>Scope
(Architectures)</t>
  </si>
  <si>
    <t>Priority
(HIGH/MED/LOW)</t>
  </si>
  <si>
    <t>Synthesis Notes — Themes, Patterns and Key Insights</t>
  </si>
  <si>
    <t>Add notes as you read papers. These become the raw material for Section 4 (taxonomy and synthesis).</t>
  </si>
  <si>
    <t>Emerging Themes (add rows as needed)</t>
  </si>
  <si>
    <t>Theme</t>
  </si>
  <si>
    <t>Papers Supporting This</t>
  </si>
  <si>
    <t>Key Insight / Deduction</t>
  </si>
  <si>
    <t>Contradictions?</t>
  </si>
  <si>
    <t>Relevant to Gap?</t>
  </si>
  <si>
    <t>Measurement tools require training to run</t>
  </si>
  <si>
    <t>CarbonTracker, CodeCarbon, Zeus, Fischer (2025)</t>
  </si>
  <si>
    <t>All current tools measure during or after training. None can predict before. This IS the gap.</t>
  </si>
  <si>
    <t>No contradictions — universal limitation</t>
  </si>
  <si>
    <t>YES — core gap</t>
  </si>
  <si>
    <t>Software sensors underestimate by 10-40%</t>
  </si>
  <si>
    <t>Fischer (2025), Anthony et al. (2020)</t>
  </si>
  <si>
    <t>Software-based tools miss PSU losses, cooling, storage. Hardware watt-meters are ground truth.</t>
  </si>
  <si>
    <t>No</t>
  </si>
  <si>
    <t>YES — validates BUTTER-E advantage</t>
  </si>
  <si>
    <t>FLOP-based methods are crude proxies</t>
  </si>
  <si>
    <t>Garcia-Martin (2019), Strubell (2019), Desislavov (2023)</t>
  </si>
  <si>
    <t>FLOPs miss memory effects, I/O, utilisation variation. ML-based prediction is superior.</t>
  </si>
  <si>
    <t>YES — motivates our approach</t>
  </si>
  <si>
    <t>Architecture-specific models fail to generalise</t>
  </si>
  <si>
    <t>Cai/NeuralPower (2017), NeurstrucEnergy (2022)</t>
  </si>
  <si>
    <t>NeuralPower works for CNNs only. NeurstrucEnergy for IoT only. Cross-architecture gap is real.</t>
  </si>
  <si>
    <t>YES — our transferability contribution</t>
  </si>
  <si>
    <t>Energy per epoch is approximately constant</t>
  </si>
  <si>
    <t>Reguero et al. (2024)</t>
  </si>
  <si>
    <t>Static architectural features dominate energy. Validates our feature-based prediction approach.</t>
  </si>
  <si>
    <t>Carbontracker assumes same — breaks with LR schedules</t>
  </si>
  <si>
    <t>YES — validates methodology</t>
  </si>
  <si>
    <t>14.3% is the benchmark to beat</t>
  </si>
  <si>
    <t>Best runtime predictor achieves 14.3% error with live data. Matching this from pre-training features = strong result.</t>
  </si>
  <si>
    <t>YES — sets evaluation target</t>
  </si>
  <si>
    <t>Large-scale benchmark data enables new approaches</t>
  </si>
  <si>
    <t>Tripp/BUTTER-E (2024), Bakhtiarifard/EC-NAS (2024)</t>
  </si>
  <si>
    <t>486K+ real measurements only became available 2024. Nobody could have done our study in 2022.</t>
  </si>
  <si>
    <t>YES — novelty justification</t>
  </si>
  <si>
    <t>Summary Statistics — Paper Counts Across All Stages</t>
  </si>
  <si>
    <t>Update as searches are completed. This feeds the PRISMA diagram.</t>
  </si>
  <si>
    <t>Papers by Database (Initial Search)</t>
  </si>
  <si>
    <t>Initial Results</t>
  </si>
  <si>
    <t>After Title Screen</t>
  </si>
  <si>
    <t>TOTAL</t>
  </si>
  <si>
    <t>PRISMA Funnel Summary</t>
  </si>
  <si>
    <t>Count</t>
  </si>
  <si>
    <t>Removed</t>
  </si>
  <si>
    <t>Initial search pool (all DBs)</t>
  </si>
  <si>
    <t>After date filter (2018–2025)</t>
  </si>
  <si>
    <t>After exclusion keywords</t>
  </si>
  <si>
    <t>After deduplication</t>
  </si>
  <si>
    <t>After title screening</t>
  </si>
  <si>
    <t>After abstract screening</t>
  </si>
  <si>
    <t>Final selection</t>
  </si>
  <si>
    <t>allintitle: "deep learning" AND "energy consumption"</t>
  </si>
  <si>
    <t xml:space="preserve">	Energy Consumption Forecasting in Home Energy Management System using Deep Learning Techniques</t>
  </si>
  <si>
    <t xml:space="preserve">	Renewable Energy Consumption on Solar and Wind Energy Prediction Using Deep Learning and Generative AI</t>
  </si>
  <si>
    <t>Abnormality Detection in Smart Home Energy Consumption by Statistical, Machine Learning, and Deep Learning Approaches</t>
  </si>
  <si>
    <t xml:space="preserve">	Energy Consumption Prediction System Based on Deep Learning with Edge Computing</t>
  </si>
  <si>
    <t>Predicting Energy Consumption Using LSTM and CNN Deep Learning Algorithm</t>
  </si>
  <si>
    <t>Prediction of Electric Energy Consumption for Demand Response using Deep Learning</t>
  </si>
  <si>
    <t>Comparisons of Deep Learning Models to predict Energy Consumption of an Educational Building</t>
  </si>
  <si>
    <t>Ensemble Deep Learning Applied to Predict Building Energy Consumption</t>
  </si>
  <si>
    <t>Forecasting Energy Consumption Using Deep Learning in Smart Cities</t>
  </si>
  <si>
    <t xml:space="preserve">	Using Deep Learning and Knowledge Transfer to Disaggregate Energy Consumption</t>
  </si>
  <si>
    <t>Time-Efficient Deep Learning-Based Energy Consumption Prediction for Smart Factory</t>
  </si>
  <si>
    <t>Deep Learning-Based Probabilistic Forecasting of Household Energy Consumption in Smart Grids</t>
  </si>
  <si>
    <t>AI Approach for Minimizing The Energy Consumption of Servers Using Deep-Q-Learning</t>
  </si>
  <si>
    <t xml:space="preserve">	UAV Energy Consumption Prediction: A Comparative Study from Four Different Deep Learning Models</t>
  </si>
  <si>
    <t>Energy Consumption Optimization for 5G Base Stations Based on Deep Reinforcement Learning</t>
  </si>
  <si>
    <t>Predictive Modeling of Energy Consumption for Building Automation Systems Using Deep Learning</t>
  </si>
  <si>
    <t xml:space="preserve">	Deep Learning and Text-Embedding to Integrate Energy Consumption into Industrial Machine Production Planning</t>
  </si>
  <si>
    <t>Harnessing Deep Learning for Enhanced Energy Consumption Forecasting in smart Home: A comparative Study of MLP and RNN Architectures</t>
  </si>
  <si>
    <t>Federated Deep Learning Multiple Households Energy Consumption Forecasting Considering Data Privacy-Preserving</t>
  </si>
  <si>
    <t>A Deep Reinforcement Learning based policy gradient for Energy Consumption in Edge Computing</t>
  </si>
  <si>
    <t>Route Planning Based on Deep Reinforcement Learning to Minimize Energy Consumption in UAV Photogrammetry</t>
  </si>
  <si>
    <t>Deep Learning for Forecasting the Energy Consumption in Public Buildings</t>
  </si>
  <si>
    <t xml:space="preserve">	Down-clocking Scheme using Deep Learning for Minimizing Energy Consumption in Wireless Networks</t>
  </si>
  <si>
    <t>Predicting energy consumption through deep learning-powered time series analysis</t>
  </si>
  <si>
    <t>Balancing Cost and Self-Consumption in Home Energy Management: A Deep Reinforcement Learning and Model-Based Perspective with EV and Storage Systems</t>
  </si>
  <si>
    <t>EcoPredict: A Unified Deep Learning Framework for Forecasting Energy Consumption in Cloud Classrooms</t>
  </si>
  <si>
    <t xml:space="preserve">	Fuel Consumption Prediction from Car Images Using CNN-Based Deep and Transfer Learning for Energy Efficiency and Sustainability</t>
  </si>
  <si>
    <t>Multi-Architecture Deep Learning Approach for Enhanced Energy Consumption Forecasting</t>
  </si>
  <si>
    <t>Mitigation Strategies for Greenhouse Gas Emissions and Energy Consumption Based on Deep Learning</t>
  </si>
  <si>
    <t>Energy Consumption Forecasting using LSTM-based Deep Learning Models</t>
  </si>
  <si>
    <t>Design of Energy Consumption Prediction and Optimization Algorithm for Central Air Conditioning Systems Integrating Deep Learning</t>
  </si>
  <si>
    <t>Integration of Deep Learning and Blockchain for Energy Consumption Prediction and Management in Electric Vehicles</t>
  </si>
  <si>
    <t xml:space="preserve">	Research on Efficient Energy Consumption Algorithm for Ocean Oil and Gas IoT Based on Deep Learning</t>
  </si>
  <si>
    <t>A Deep Hybrid Learning Approach for Estimating Energy Consumption in NB-IoT Devices</t>
  </si>
  <si>
    <t>A Deep Learning Framework for Energy Consumption Forecasting with n-Gram, Attention, and ARMA</t>
  </si>
  <si>
    <t>Research on U.S. Renewable Energy Consumption Prediction Based on Multi-Branch Deep Learning Architecture</t>
  </si>
  <si>
    <t>Deep Learning-Based Anomaly Detection in Energy Consumption Data of Buildings: A Comparative Study</t>
  </si>
  <si>
    <t xml:space="preserve">	Research on Building Energy Consumption Prediction and Optimal Control System Based on Deep Learning Algorithm</t>
  </si>
  <si>
    <t>Time series Univariate Energy Forecasting Consumption in Smart Buildings using Deep Learning</t>
  </si>
  <si>
    <t>Research on Control Strategy and Energy Consumption Optimization of High Efficiency Motor Based on Deep Learning</t>
  </si>
  <si>
    <t>Energy Consumption Forecasting using a Deep Learning Energy-Level Based Prediction</t>
  </si>
  <si>
    <t>An Optimised Energy Efficient Task Scheduling Algorithm based on Deep Learning Technique for Energy Consumption</t>
  </si>
  <si>
    <t>Assessing Machine Learning and Deep Learning-based approaches for SAG mill Energy consumption</t>
  </si>
  <si>
    <t xml:space="preserve">	UAV Trajectory Planning in Wireless Sensor Networks for Energy Consumption Minimization by Deep Reinforcement Learning</t>
  </si>
  <si>
    <t>Evolutionary Deep Learning-Based Energy Consumption Prediction for Buildings</t>
  </si>
  <si>
    <t>Forecasting Building Energy Consumption with Deep Learning: A Sequence to Sequence Approach</t>
  </si>
  <si>
    <t>Dynamic User Preference Parameters Selection and Energy Consumption Optimization for Smart Homes Using Deep Extreme Learning Machine and Bat Algorithm</t>
  </si>
  <si>
    <t>Energy Consumption Modeling and Optimization of UAV-Assisted MEC Networks Using Deep Reinforcement Learnin</t>
  </si>
  <si>
    <t>Deep Reinforcement Learning Based Energy Consumption Minimization for Intelligent Reflecting Surfaces Assisted D2D Users Underlaying UAV Network</t>
  </si>
  <si>
    <t xml:space="preserve">	Energy Consumption Optimization for Heating, Ventilation and Air Conditioning Systems Based on Deep Reinforcement Learning</t>
  </si>
  <si>
    <t>Adaptive Traffic Light Control With Deep Reinforcement Learning: An Evaluation of Traffic Flow and Energy Consumption</t>
  </si>
  <si>
    <t>Research on Deep Learning Energy Consumption Prediction Based on Generating Confrontation Network</t>
  </si>
  <si>
    <t>Energy Consumption and Communication Quality Tradeoff for Logistics UAVs: A Hybrid Deep Reinforcement Learning Approach</t>
  </si>
  <si>
    <t xml:space="preserve">	Balancing Energy Consumption and Thermal Comfort with Deep Reinforcement Learning</t>
  </si>
  <si>
    <t>Deep Transfer Learning for Detecting Electric Vehicles Highly Correlated Energy Consumption Parameters</t>
  </si>
  <si>
    <t>A Generative Deep Learning Framework Across Time Series to Optimize the Energy Consumption of Air Conditioning Systems</t>
  </si>
  <si>
    <t>Clustering and Deep-Learning for Energy Consumption Forecast in Smart Buildings</t>
  </si>
  <si>
    <t>DeepECO: Applying Deep Learning for Occupancy Detection from Energy Consumption Data</t>
  </si>
  <si>
    <t>A Transistor Operations Model for Deep Learning Energy Consumption Scaling Law</t>
  </si>
  <si>
    <t>Deep Learning Method to Analyze the Bi-LSTM Model for Energy Consumption Forecasting in Smart Cities</t>
  </si>
  <si>
    <t xml:space="preserve">	Deep Learning Model for Forecasting Institutional Building Energy Consumption</t>
  </si>
  <si>
    <t>Predicting Internal Energy Consumption of a Wind Turbine Using Semi-Supervised Deep Learning</t>
  </si>
  <si>
    <t xml:space="preserve">	Deep Learning for Time-Series Forecasting With Exogenous Variables in Energy Consumption: A Performance and Interpretability Analysis</t>
  </si>
  <si>
    <t>Joint Optimization of Latency and Energy Consumption via Deep Reinforcement Learning for Proximity Detection in Road Networks</t>
  </si>
  <si>
    <t>Optimizing Energy Consumption and Latency in IoT Through Edge Computing in Air-Ground Integrated Network With Deep Reinforcement Learning</t>
  </si>
  <si>
    <t xml:space="preserve">	Exploring Deep Learning and Tree-Based Ensemble Models for Chiller Energy Consumption Predictions</t>
  </si>
  <si>
    <t>Joint Latency and Energy Consumption Optimization with Deep Reinforcement Learning for Proximity Detection in Road Networks</t>
  </si>
  <si>
    <t>Deep Learning-Based Prediction of Household Energy Consumption: An LSTM Approach with High Precision</t>
  </si>
  <si>
    <t>Dynamic Incentive Pricing Menu Differentiated EV Real-Time Charging Schedule to Increase Renewable Energy Consumption: A Deep Reinforcement Learning Approach</t>
  </si>
  <si>
    <t>Deep Learning Model for Energy Consumption Prediction and Carbon Emission Estimation</t>
  </si>
  <si>
    <t>Predicting Inference Time and Energy Consumption in Deep Learning Using MLPs</t>
  </si>
  <si>
    <t>Improving Energy Consumption Forecasting with Contextual Awareness: A Hybrid Deep Learning Perspective</t>
  </si>
  <si>
    <t xml:space="preserve">	Deep learning-based model predictive control for energy saving and consumption reduction in HVAC systems</t>
  </si>
  <si>
    <t>Effective Deep Learning Techniques for Prediction of Energy Consumption in Smart Buildings</t>
  </si>
  <si>
    <t xml:space="preserve">	Physics-Constrained Two-Stage Deep Learning for Energy Consumption Prediction in Immersion Liquid-Cooled Data Centers</t>
  </si>
  <si>
    <t>Mamba Deep Learning-Based Intelligent Energy Consumption Regulation and Sustainable Design for Digital Twin Office Spaces</t>
  </si>
  <si>
    <t>A Review on Deep Learning and Hybrid Model for Forecasting Residential and Commercial Buildings Energy Consumption</t>
  </si>
  <si>
    <t>Exploring Factors Influencing Energy Consumption Behavior Among Higher Education Students Using Deep Learning</t>
  </si>
  <si>
    <t>Prediction of Energy Consumption Using Deep Learning Architectures for Tabular Data</t>
  </si>
  <si>
    <t xml:space="preserve">	Benchmarking Deep Learning Architectures for Forecasting Building Energy Consumption and Solar Irradiation</t>
  </si>
  <si>
    <t xml:space="preserve">	Short-Term Energy Consumption Forecasting in Smart Steel Plants Based on Hybrid and Featured Deep Learning Methods</t>
  </si>
  <si>
    <t>Federated Reinforcement Learning and Deep Q-Network: Improving Fault Tolerance and Energy Consumption in Swarm Robotics for Mine Prospection Missions</t>
  </si>
  <si>
    <t xml:space="preserve">	Energy Consumption Probabilistic Prediction of HVAC Systems in Public Buildings Based on Deep Learning Fusion Model</t>
  </si>
  <si>
    <t>A Novel Approach to Faster Convergence and Improved Accuracy in Deep Learning-Based Electrical Energy Consumption Forecast Models for Large Consumer Groups</t>
  </si>
  <si>
    <t>A Deep Learning-based Framework for Energy Consumption Prediction and Anomaly Detection in Residential Buildings</t>
  </si>
  <si>
    <t>Forecasting Data Server Energy Consumption Using LSTM Deep Learning Models</t>
  </si>
  <si>
    <t xml:space="preserve">	Machine and Deep Learning Impact on Energy Consumption Enhancement in IoT Systems</t>
  </si>
  <si>
    <t>A Community-level Energy Consumption Modeling Method based on Oblique Photogrammetry and Deep Learning</t>
  </si>
  <si>
    <t>Multi-Agent Deep Reinforcement Learning for Joint Optimization of Latency and Energy Consumption Oriented to Communication-Sensing-Computation Integration in IoV</t>
  </si>
  <si>
    <t xml:space="preserve">	Energy Consumption Prediction and Optimal Control of HVAC Systems Based on Deep Learning</t>
  </si>
  <si>
    <t xml:space="preserve">	Federated Deep Reinforcement Learning for Delay and Energy Consumption Tradeoff in Scalable Cell-Free Mobile Edge Computing Networks</t>
  </si>
  <si>
    <t>Dual-Modified PDMS-Based Triboelectric Nanogenerator for Biomechanical Energy Harvesting and Deep Learning-Driven Caloric Consumption Calculation</t>
  </si>
  <si>
    <t>Deep Learning-Based Energy Consumption Modeling in Smart Buildings</t>
  </si>
  <si>
    <t>Deep Learning-based Data Collection to Reduce Energy Consumption in Internet of Things Devices</t>
  </si>
  <si>
    <t>Prediction of Ship Energy Consumption Based on Deep Learning</t>
  </si>
  <si>
    <t>YES</t>
  </si>
  <si>
    <t>NO</t>
  </si>
  <si>
    <t>Total Papers: 95/95</t>
  </si>
  <si>
    <t>allintitle: "neural network" AND "energy consumption" AND training</t>
  </si>
  <si>
    <t>Application of Linear Regression and Artificial Neural Networks for Load Forecasting the Consumption of Fuel and Energy Resources Train Traction</t>
  </si>
  <si>
    <t>Total Papers: 1/1</t>
  </si>
  <si>
    <t>allintitle: "deep learning" AND "energy consumption" AND prediction</t>
  </si>
  <si>
    <t>Renewable Energy Consumption on Solar and Wind Energy Prediction Using Deep Learning and Generative AI</t>
  </si>
  <si>
    <t>Energy Consumption Prediction System Based on Deep Learning with Edge Computing</t>
  </si>
  <si>
    <t xml:space="preserve">	Time-Efficient Deep Learning-Based Energy Consumption Prediction for Smart Factory</t>
  </si>
  <si>
    <t>Fuel Consumption Prediction from Car Images Using CNN-Based Deep and Transfer Learning for Energy Efficiency and Sustainability</t>
  </si>
  <si>
    <t>Research on Building Energy Consumption Prediction and Optimal Control System Based on Deep Learning Algorithm</t>
  </si>
  <si>
    <t xml:space="preserve">	Evolutionary Deep Learning-Based Energy Consumption Prediction for Buildings</t>
  </si>
  <si>
    <t>Exploring Deep Learning and Tree-Based Ensemble Models for Chiller Energy Consumption Predictions</t>
  </si>
  <si>
    <t>Physics-Constrained Two-Stage Deep Learning for Energy Consumption Prediction in Immersion Liquid-Cooled Data Centers</t>
  </si>
  <si>
    <t>Energy Consumption Probabilistic Prediction of HVAC Systems in Public Buildings Based on Deep Learning Fusion Model</t>
  </si>
  <si>
    <t>Energy Consumption Prediction and Optimal Control of Hvac Systems Based on Deep Learning</t>
  </si>
  <si>
    <t>Total Papers: 23/23</t>
  </si>
  <si>
    <t>Carbon Footprint Monitoring System Using Machine Learning and Deep Learning Techniques</t>
  </si>
  <si>
    <t>Deep Reinforcement Learning based HVAC Control for Reducing Carbon Footprint of Buildings</t>
  </si>
  <si>
    <t>Special Session: End-To-End Carbon Footprint Assessment and Modeling of Deep Learning</t>
  </si>
  <si>
    <t>Green AI: Assessing the Carbon Footprint of Fine-Tuning Pre-Trained Deep Learning Models in Medical Imaging</t>
  </si>
  <si>
    <t>Performance Comparison of Deep Learning Models for CO2 Prediction: Analyzing Carbon Footprint with Advanced Trackers</t>
  </si>
  <si>
    <t>Data-Driven Carbon Footprint Estimation in Software Systems Using AI and Deep Learning</t>
  </si>
  <si>
    <t>Total Papers: 6/6</t>
  </si>
  <si>
    <t>Deep4Ener: Energy Demand forecasting for Unseen Consumers with Scarce Data Using a Single Deep Learning Model</t>
  </si>
  <si>
    <t>Boosting interpretability of non-readable deep learning forecasts: the case of buildings' energy consumptions prediction</t>
  </si>
  <si>
    <t>Total Papers: 2/2</t>
  </si>
  <si>
    <t>Event-triggered fixed-time synchronization and energy consumption prediction for coupled neural networks with stochastic disturbances</t>
  </si>
  <si>
    <t>Interpretable Physics-Informed Neural Networks for energy consumption prediction using IoT sensors</t>
  </si>
  <si>
    <t>Study on energy consumption prediction method of air-conditioning system from the perspective of indoor environmental parameters by using Elman neural network</t>
  </si>
  <si>
    <t>Prediction of energy consumption and airflow of a ventilation system: A SAGA-optimised back-propagation neural network-based approach</t>
  </si>
  <si>
    <t>Fixed-time privacy-preserving synchronization and energy consumption prediction for stochastic neural networks</t>
  </si>
  <si>
    <t>Spatio-temporal prediction of total energy consumption in multiple regions using explainable deep neural network</t>
  </si>
  <si>
    <t>Application of the hybrid neural network model for energy consumption prediction of office buildings</t>
  </si>
  <si>
    <t>Time-series based prediction for energy consumption of smart home data using hybrid convolution-recurrent neural network</t>
  </si>
  <si>
    <t>Is Relevant?
(YES/NO)</t>
  </si>
  <si>
    <t>A convolutional neural network-long short-term memory hybrid deep learning model for predicting uncontrollable energy consumption balance in France</t>
  </si>
  <si>
    <t>Monotonicity-constrained physics-informed deep neural network for chiller energy consumption prediction</t>
  </si>
  <si>
    <t>Novel results for preassigned-time synchronization of fuzzy neural networks with energy consumption</t>
  </si>
  <si>
    <t>Optimization of energy consumption and thermal comfort in stratum ventilation systems using metaheuristic-tuned neural networks</t>
  </si>
  <si>
    <t>Radial basis function and feedforward backpropagation artificial neural networks for electric vehicles daily energy consumption</t>
  </si>
  <si>
    <t>Recurrent neural network strategies for decoupling energy consumption and greenhouse gas emissions in Hungary's industrial sector</t>
  </si>
  <si>
    <t>Phoeni6: A systematic approach for evaluating the energy consumption of neural networks</t>
  </si>
  <si>
    <t>Trade-off analysis between finite-time synchronization and energy consumption for fractional-order two-layer neural networks</t>
  </si>
  <si>
    <t>Predicting energy consumption of electric two-wheelers under real-driving conditions in urban area</t>
  </si>
  <si>
    <t>Heating energy consumption prediction based on improved GA-BP neural network model</t>
  </si>
  <si>
    <t>Optimized deep neural network architectures for energy consumption and PV production forecasting</t>
  </si>
  <si>
    <t>Analysis of different neural network models for prediction of air-conditioning energy consumption in large public buildings</t>
  </si>
  <si>
    <t>Predicting energy consumption of residential buildings using metaheuristic-optimized artificial neural network technique in early design stage</t>
  </si>
  <si>
    <t>Predicting energy consumption in desulfurization wastewater bypass evaporation systems using hybrid artificial neural networks</t>
  </si>
  <si>
    <t>Artificial Neural Network-Based Decision Support Tool for Identifying Operational Causes of Energy Consumption Anomalies in Production Lines</t>
  </si>
  <si>
    <t>Optimising dimming systems for visual experience and energy consumption using genetic algorithms and neural networks</t>
  </si>
  <si>
    <t>A neural network grey model based on dynamical system characteristics for predicting carbon emissions and energy consumption in China</t>
  </si>
  <si>
    <t>Estimating energy consumption of neural networks with joint Structure-Device encoding</t>
  </si>
  <si>
    <t>Electric vehicle energy consumption prediction for unknown route types using deep neural networks</t>
  </si>
  <si>
    <t>Predictive and correlational analysis of heating energy consumption in residential apartments using LSTM and GRNN</t>
  </si>
  <si>
    <t>Comparing multiple linear regression and neural network models for predicting heating energy consumption in school buildings</t>
  </si>
  <si>
    <t>Fixed-time synchronization of interconnected memristive neural networks with energy consumption via switched control</t>
  </si>
  <si>
    <t>Modeling and predicting energy consumption of chiller based on dynamic spatial-temporal graph neural network</t>
  </si>
  <si>
    <t>A GPU-accelerated adaptation of the PSO algorithm for multi-objective optimization applied to artificial neural networks to predict energy consumption</t>
  </si>
  <si>
    <t>Investigation of ship energy consumption based on neural network</t>
  </si>
  <si>
    <t>Multi-source domain generalization deep neural network model for predicting energy consumption in multiple office buildings</t>
  </si>
  <si>
    <t>Application and evaluation of the evolutionary algorithms combined with conventional neural network to determine the building energy consumption of the residential sector</t>
  </si>
  <si>
    <t>Energy consumption prediction in an office building by examining occupancy rates and weather parameters</t>
  </si>
  <si>
    <t>STGNet: A spatial-temporal graph neural network for energy consumption prediction in cement industrial manufacturing processes</t>
  </si>
  <si>
    <t>A comparative study of response surface methodology and artificial neural network for dexamethasone degradation: energy consumption study</t>
  </si>
  <si>
    <t>Synthesis of model predictive control based on neural network for energy consumption enhancement in building</t>
  </si>
  <si>
    <t>Building energy consumption prediction and optimization using different neural network-assisted models</t>
  </si>
  <si>
    <t>Real-time energy consumption prediction method for air-conditioning system based on LSTM neural network</t>
  </si>
  <si>
    <t>Electric vehicles survey and a multifunctional artificial neural network for predicting energy consumption in all-electric vehicles</t>
  </si>
  <si>
    <t>A deep learning framework using multi-feature fusion recurrent neural networks for energy consumption forecasting</t>
  </si>
  <si>
    <t>Prediction of window opening behavior and its impact on HVAC energy consumption using Deep Neural Network</t>
  </si>
  <si>
    <t>Building energy consumption prediction using multilayer perceptron neural network-assisted models</t>
  </si>
  <si>
    <t>Building energy consumption optimization method based on convolutional neural network and BIM</t>
  </si>
  <si>
    <t>Experimental investigation of phase change materials in energy consumption of air-conditioning units using deep neural network</t>
  </si>
  <si>
    <t>Development of predictive neural network to minimize energy consumption in solar-fed wireless sensor networks</t>
  </si>
  <si>
    <t>Dilated causal convolutional neural networks for forecasting zone airflow to estimate short-term energy consumption</t>
  </si>
  <si>
    <t>The innovative optimization techniques for forecasting the energy consumption of buildings using the shuffled frog leaping algorithm</t>
  </si>
  <si>
    <t>Energy consumption prediction of air-conditioning systems in eco-buildings using hunger games search optimization-based ANN</t>
  </si>
  <si>
    <t>Energy consumption optimization of building air conditioning system via combining PTCN and adaptive opposition-learning chimp algorithm</t>
  </si>
  <si>
    <t>An intelligence energy consumption model based on BP neural network in mobile edge computing</t>
  </si>
  <si>
    <t>Corrigendum to response surface methodology and ANN for dexamethasone degradation</t>
  </si>
  <si>
    <t>Prediction method of energy consumption for high building based on LMBP neural network</t>
  </si>
  <si>
    <t>VLSI implementation using fully connected neural networks for energy consumption over neurons</t>
  </si>
  <si>
    <t>Collaborative deep learning framework on IoT data with bidirectional NLSTM neural networks for energy consumption forecasting</t>
  </si>
  <si>
    <t>Trade off analysis between fixed-time stabilization and energy consumption of nonlinear neural networks</t>
  </si>
  <si>
    <t>Real-time dynamic predictive cruise control for enhancing eco-driving of electric vehicles using ANN-based energy consumption model</t>
  </si>
  <si>
    <t>Highly accurate energy consumption forecasting model based on parallel LSTM neural networks</t>
  </si>
  <si>
    <t>Energy consumption and energy-efficient design of cup-shape blade stirred tank reactors using ANN</t>
  </si>
  <si>
    <t>Development of a back-propagation neural network and adaptive grey wolf optimizer for thermal comfort and energy consumption prediction</t>
  </si>
  <si>
    <t>Forecasting building energy consumption: Adaptive LSTM neural networks driven by genetic algorithm</t>
  </si>
  <si>
    <t>Mathematical and ANN modeling for vacuum drying kinetics of Moringa olifera leaves: energy consumption study</t>
  </si>
  <si>
    <t>Modeling of photolytic degradation of sulfamethoxazole using BRT, ANN and RSM: energy consumption study</t>
  </si>
  <si>
    <t>Pollutants removals and energy consumption in electrochemical cell for pulping processes wastewater treatment using ANN</t>
  </si>
  <si>
    <t>Neural-network-based control of discrete-phase concentration in a gas-particle corner flow with optimal energy consumption</t>
  </si>
  <si>
    <t>Finite-time stabilization and energy consumption estimation for delayed neural networks with bounded activation function</t>
  </si>
  <si>
    <t>Prediction and optimization of energy consumption in an office building using ANN and a genetic algorithm</t>
  </si>
  <si>
    <t>Feature extraction and genetic algorithm enhanced adaptive deep neural network for energy consumption prediction in buildings</t>
  </si>
  <si>
    <t>An Optimal Neural Network for Hourly and Daily Energy Consumption Prediction in Buildings</t>
  </si>
  <si>
    <t>A parallel solution with GPU technology to predict energy consumption in spatially distributed buildings using evolutionary optimization and ANN</t>
  </si>
  <si>
    <t>An ANN expert system enhanced with EFA for predicting energy consumption in buildings</t>
  </si>
  <si>
    <t>Estimation of energy consumption of electric vehicles using Deep Convolutional Neural Network to reduce driver's range anxiety</t>
  </si>
  <si>
    <t>A hybrid approach based on inverse neural network to determine optimal level of energy consumption in electrical power generation</t>
  </si>
  <si>
    <t>Optimization of HVAC system energy consumption in a building using ANN and multi-objective genetic algorithm</t>
  </si>
  <si>
    <t>Applying multivariate linear regression and MLP ANN to design an energy consumption baseline in a LDPE plant</t>
  </si>
  <si>
    <t>Predicting residential energy consumption using CNN-LSTM neural networks</t>
  </si>
  <si>
    <t>Electrical Energy Consumption Prediction based on the Recurrent Neural Network</t>
  </si>
  <si>
    <t>Prediction of occupancy level and energy consumption in office building using blind system identification and neural networks</t>
  </si>
  <si>
    <t>Non-linear autoregressive neural network (NARNET) with SSA filtering for a university energy consumption forecast</t>
  </si>
  <si>
    <t>Assessing energy consumption and carbon dioxide emissions of off-highway trucks in earthwork operations: An ANN model</t>
  </si>
  <si>
    <t>A hybrid teaching-learning artificial neural network for building electrical energy consumption prediction</t>
  </si>
  <si>
    <t>Artificial neural network model for forecasting energy consumption in hot mix asphalt (HMA) production</t>
  </si>
  <si>
    <t>Assessment of energy consumption and modeling of output energy for wheat production by neural network (MLP and RBF) and GPR models</t>
  </si>
  <si>
    <t>Anomaly detection in energy consumption for Condition-Based maintenance of Compressed Air Generation systems using ANN</t>
  </si>
  <si>
    <t>On the use of artificial neural networks to model household energy consumptions</t>
  </si>
  <si>
    <t>Integrating ANN and imperialist competitive algorithm (ICA) to predict the energy consumption for land leveling</t>
  </si>
  <si>
    <t>Energy consumption forecasting based on Elman neural networks with evolutive optimization</t>
  </si>
  <si>
    <t>Multifactor-influenced energy consumption forecasting using enhanced back-propagation neural network</t>
  </si>
  <si>
    <t>Comparison of linear regression and ANN models to predict heating and cooling energy demand, energy consumption and CO2 emissions</t>
  </si>
  <si>
    <t>Energy Consumption Optimization of High Sulfur Natural Gas Purification Plant Based on BP Neural Network and Genetic Algorithms</t>
  </si>
  <si>
    <t>Total Papers: 92/92</t>
  </si>
  <si>
    <t>Energy consumption forecasting with hybrid deep learning approach, explainable AI, and hunger games optimization</t>
  </si>
  <si>
    <t>Deep-learning-based energy consumption prediction of coal mine air heating units</t>
  </si>
  <si>
    <t>Cluster-wise deep learning framework for scenario-adaptive energy consumption and productivity prediction of cutter suction dredger</t>
  </si>
  <si>
    <t>An ensemble of Deep Learning, Machine Learning, and statistical methods for forecasting net energy consumption in Multi-Carrier Energy Systems</t>
  </si>
  <si>
    <t>A hybrid physical information deep learning framework for energy consumption forecasting of forging heating furnace</t>
  </si>
  <si>
    <t>Assessing the connectedness between green finance, energy consumption, economic growth in RECP economies: A deep learning analysis</t>
  </si>
  <si>
    <t>A feedback-driven preprocessing and multi-scale deep learning model for short-term building energy consumption prediction</t>
  </si>
  <si>
    <t>Energy consumption and carbon emission modeling and forecasting study with novel deep learning methods</t>
  </si>
  <si>
    <t>Synchronized multi-node energy consumption prediction in complex manufacturing systems using Attention-Optimized Spatio-Temporal Deep Learning Network</t>
  </si>
  <si>
    <t>A novel approach based on clustering and optimized ensemble deep learning for energy consumption forecasting in Ethiopia</t>
  </si>
  <si>
    <t>Optimization of Energy Consumption in Data Centers Using Deep Learning: A Systematic Literature Review</t>
  </si>
  <si>
    <t>High-precision energy consumption forecasting for large office building using a signal decomposition-based deep learning approach</t>
  </si>
  <si>
    <t>Explaining deep learning-based anomaly detection in energy consumption data by focusing on contextually relevant data</t>
  </si>
  <si>
    <t>Detecting energy consumption anomalies with dynamic adaptive encoder-decoder deep learning networks</t>
  </si>
  <si>
    <t>Forecasting energy consumption with a novel ensemble deep learning framework</t>
  </si>
  <si>
    <t>Deep learning application in fuel cell electric bicycle to optimize bicycle performance and energy consumption</t>
  </si>
  <si>
    <t>Efficiency improvement in energy consumption: A novel deep learning based model for leading a greener Economic recovery</t>
  </si>
  <si>
    <t>CNN-LSTM based deep learning application on Jetson Nano: Estimating electrical energy consumption for future smart homes</t>
  </si>
  <si>
    <t>A short-term energy consumption forecasting method for attention mechanisms based on spatio-temporal deep learning</t>
  </si>
  <si>
    <t>Predicting energy consumption of mosque buildings during the operation stage using deep learning approach</t>
  </si>
  <si>
    <t>A hybrid model of self-organizing map and deep learning with genetic algorithm for managing energy consumption in public buildings</t>
  </si>
  <si>
    <t>An evolutionary deep learning model based on EWKM, random forest algorithm, SSA and BiLSTM for building energy consumption prediction</t>
  </si>
  <si>
    <t>Energy consumption prediction in water treatment plants using deep learning with data augmentation</t>
  </si>
  <si>
    <t>Dynamic adaptive encoder-decoder deep learning networks for multivariate time series forecasting of building energy consumption</t>
  </si>
  <si>
    <t>An energy consumption prediction method for HVAC systems using energy storage based on time series shifting and deep learning</t>
  </si>
  <si>
    <t>Global control of electrical supply: A variational mode decomposition-aided deep learning model for energy consumption prediction</t>
  </si>
  <si>
    <t>Residential energy consumption forecasting using deep learning models</t>
  </si>
  <si>
    <t>A novel discrete deep learning-based intelligent methodology for energy consumption classification</t>
  </si>
  <si>
    <t>RETRACTED: Simulation of infrared thermal images based on deep learning in athlete training: Simulation of thermal energy consumption</t>
  </si>
  <si>
    <t>Development of an energy consumption prediction model for battery electric vehicles using deep learning</t>
  </si>
  <si>
    <t>A novel XGBoost-based featurization approach to forecast renewable energy consumption with deep learning models</t>
  </si>
  <si>
    <t>Trends in AI inference energy consumption: Beyond the performance-vs-parameter laws of deep learning</t>
  </si>
  <si>
    <t>Improving energy consumption prediction for residential buildings using Modified Wild Horse Optimization with Deep Learning model</t>
  </si>
  <si>
    <t>Machine Learning, Deep Learning and Statistical Analysis for forecasting building energy consumption — A systematic review</t>
  </si>
  <si>
    <t>Deep learning analysis for energy consumption of shield tunneling machine drive system</t>
  </si>
  <si>
    <t>Stacking Deep learning and Machine learning models for short-term energy consumption forecasting</t>
  </si>
  <si>
    <t>Impacts of data preprocessing and selection on energy consumption prediction model of HVAC systems based on deep learning</t>
  </si>
  <si>
    <t>Building energy consumption prediction for residential buildings using deep learning and other machine learning techniques</t>
  </si>
  <si>
    <t>An agent-based modeling approach combined with deep learning method in simulating household energy consumption</t>
  </si>
  <si>
    <t>Interpretable deep learning model for building energy consumption prediction based on attention mechanism</t>
  </si>
  <si>
    <t>Sequence-to-sequence deep learning model for building energy consumption prediction with dynamic simulation modeling</t>
  </si>
  <si>
    <t>A building energy consumption prediction model based on rough set theory and deep learning algorithms</t>
  </si>
  <si>
    <t>Imaging time-series with features to enable visual recognition of regional energy consumption by bio-inspired optimization of deep learning</t>
  </si>
  <si>
    <t>A deep learning framework for building energy consumption forecast</t>
  </si>
  <si>
    <t>Deep learning and transfer learning models of energy consumption forecasting for a building with poor information data</t>
  </si>
  <si>
    <t>Accurate forecasting of building energy consumption via a novel ensembled deep learning method</t>
  </si>
  <si>
    <t>Abnormal energy consumption detection for GSHP system based on ensemble deep learning and statistical modeling method</t>
  </si>
  <si>
    <t>A granular deep learning approach for predicting energy consumption</t>
  </si>
  <si>
    <t>Optimization of the energy consumption in activated sludge process using deep learning selective modeling</t>
  </si>
  <si>
    <t>Energy consumption modelling using deep learning embedded semi-supervised learning</t>
  </si>
  <si>
    <t>Energy Consumption Modelling Using Deep Learning Technique — A Case Study of EAF</t>
  </si>
  <si>
    <t>Total Papers: 54/54</t>
  </si>
  <si>
    <t>Enhanced artificial neural networks in predicting energy efficiency and minimize emissions from thermal treatment of lignocellulosic biowaste</t>
  </si>
  <si>
    <t>Predictive remapping and allocentric coding as consequences of energy efficiency in recurrent neural network models of active vision</t>
  </si>
  <si>
    <t>A direct adaptive control architecture for buildings thermal comfort and energy efficiency optimization using MLP neural networks</t>
  </si>
  <si>
    <t>Energy efficiency and sensitivity benefits in a motion processing adaptive recurrent neural network</t>
  </si>
  <si>
    <t>A hybrid PKI and spiking neural network approach for enhancing security and energy efficiency in IoMT-based healthcare 5.0</t>
  </si>
  <si>
    <t>A review on hardware accelerators for CNN-based inference engines: Strategies for performance and energy-efficiency enhancement</t>
  </si>
  <si>
    <t>Law of conservation-guided neural network with gradient aggregation for improved energy efficiency optimization in industrial processes</t>
  </si>
  <si>
    <t>Chapter 10: Achieving energy efficiency in FPGA-based neural network inference accelerators through approximate computing</t>
  </si>
  <si>
    <t>Energy efficiency prediction of refrigerating station system based on BP neural network</t>
  </si>
  <si>
    <t>Predictive modelling of cooling consumption in nursing homes using ANN: Implications for energy efficiency and thermal comfort</t>
  </si>
  <si>
    <t>STCSNN: High energy efficiency spike-train level spiking neural networks with spatio-temporal conversion</t>
  </si>
  <si>
    <t>Prediction of heat transfer characteristics and energy efficiency of a PVT solar collector using ANN</t>
  </si>
  <si>
    <t>The role of energy efficiency in income inequality dynamics in developing Asia: Evidence from ANN</t>
  </si>
  <si>
    <t>An AER-based spiking convolution neural network system for image classification with low latency and high energy efficiency</t>
  </si>
  <si>
    <t>Research on a TOPSIS energy efficiency evaluation system for crude oil gathering and transportation systems based on a GA-BP neural network</t>
  </si>
  <si>
    <t>Energy efficiency and savings analysis with multirate sampling for petrochemical process using CNN-based transfer learning</t>
  </si>
  <si>
    <t>Predictive coding is a consequence of energy efficiency in recurrent neural networks</t>
  </si>
  <si>
    <t>Energy-efficiency-oriented optimal control for electrical environmental control system based on advanced neural network</t>
  </si>
  <si>
    <t>Multiple linear regression analysis and ANN based decision support system for energy efficiency in shipping</t>
  </si>
  <si>
    <t>Adaptive time window convolutional neural networks concerning multiple operation modes with applications in energy efficiency predictions</t>
  </si>
  <si>
    <t>Modeling of energy efficiency for a solar still fitted with thermoelectric modules by ANFIS and PSO-enhanced neural network</t>
  </si>
  <si>
    <t>A proper model to predict energy efficiency, exergy efficiency, and water productivity of a solar still via optimized neural network</t>
  </si>
  <si>
    <t>Artificial neural networks to model kinetics and energy efficiency in fixed, fluidized and vibro-fluidized bed dryers</t>
  </si>
  <si>
    <t>Three autoregressive-neural network hybrid models for energy efficiency estimation of induction motors</t>
  </si>
  <si>
    <t>Parallel memetic algorithm for training recurrent neural networks for the energy efficiency problem</t>
  </si>
  <si>
    <t>CINAS-PINN: Causal inference-based neural architecture search in physics-informed neural networks for fatigue life prediction with welding strain energy</t>
  </si>
  <si>
    <t>ETNAS: An energy consumption task-driven neural architecture search</t>
  </si>
  <si>
    <t>Reducing energy consumption of Neural Architecture Search: An inference latency prediction framework</t>
  </si>
  <si>
    <t>TOTALS - 174 PAPERS SCREENED</t>
  </si>
  <si>
    <t>Total Papers: 25/25</t>
  </si>
  <si>
    <t>Title: "energy efficiency" AND "neural network"</t>
  </si>
  <si>
    <t>Title: "neural achitecture search" AND "energy"</t>
  </si>
  <si>
    <t xml:space="preserve">Title: "deep learning" AND "energy consumption" </t>
  </si>
  <si>
    <t xml:space="preserve">Title: "neural network" and "energy consumption" </t>
  </si>
  <si>
    <t>Energy consumption predictions using a neural network</t>
  </si>
  <si>
    <t>Research on Building Energy Consumption Prediction Based on Hybrid GRU Neural Network</t>
  </si>
  <si>
    <t>Optimization of energy consumption of oil refinery reboiler and condenser using neural network</t>
  </si>
  <si>
    <t>Enhancing office building energy efficiency: neural network-based prediction of energy consumption</t>
  </si>
  <si>
    <t>GPU-Accelerated PSO for Neural Network-Based Energy Consumption Prediction</t>
  </si>
  <si>
    <t>A novel hybrid deterministic temporal fusion transformer and dynamic recurrent neural network architecture for multi-horizon multi-variate electric vehicle energy consumption forecasting</t>
  </si>
  <si>
    <t>Artificial Neural Network Model to Forecast Energy Consumption in Wheat Production in India</t>
  </si>
  <si>
    <t>Predicting US Energy Consumption Utilizing Artificial Neural Network</t>
  </si>
  <si>
    <t>Effect of pretreatments on drying characteristics and total energy consumption of carrot slices: ANN modelling</t>
  </si>
  <si>
    <t>Data-Driven Prediction of Energy Consumption for a Ground Source Heat Pump System Based on the Physics-Informed Neural Network</t>
  </si>
  <si>
    <t>Mathematical and ANN modelling for refractance window drying kinetics of coriander followed by energy consumption determination</t>
  </si>
  <si>
    <t>Bayesian Optimization-Based Hyper-parameter-Tuned Neural Network Regression for Smart Home Energy Consumption Modelling</t>
  </si>
  <si>
    <t>A Hybrid Smart Neural Network Model for Short-Term Prediction of Energy Consumption</t>
  </si>
  <si>
    <t>Analysis and Prediction of Excavator Energy Consumption Based on Improved PSO-BP Neural Network</t>
  </si>
  <si>
    <t>Prediction of Energy Consumption in Residential Buildings Using Type-2 Fuzzy Wavelet Neural Network</t>
  </si>
  <si>
    <t>Embedded Implementation of the Hypersphere Neural Network for Energy Consumption Monitoring</t>
  </si>
  <si>
    <t>Latency and Energy Consumption of Convolutional Neural Network Models from IoT Edge Perspective</t>
  </si>
  <si>
    <t>Application of Neural Network Algorithm in Building Energy Consumption Prediction</t>
  </si>
  <si>
    <t>Convolutional neural network-bagged decision tree: estimating energy consumption in real-time for electric vehicles</t>
  </si>
  <si>
    <t>An artificial neural network approach to predict energy consumption and surface roughness of a natural material</t>
  </si>
  <si>
    <t>Household Energy Consumption Prediction Using Evolutionary Ensemble Neural Network</t>
  </si>
  <si>
    <t>Prediction of Building Energy Consumption Using Enhance Convolutional Neural Network</t>
  </si>
  <si>
    <t>An improved feed-forward neural network based on UKF and strong tracking filtering to establish energy consumption model for aluminum electrolysis process</t>
  </si>
  <si>
    <t>Explainable energy consumption and speed prediction in sustainable cities using deep learning</t>
  </si>
  <si>
    <t>Energy consumption analysis and prediction in exercise training based on accelerometer sensors and deep learning</t>
  </si>
  <si>
    <t>Minimization of outage probability and energy consumption by deep learning-based prediction in D2D mm wave communication</t>
  </si>
  <si>
    <t>Holistic Energy Consumption Prediction in Homes: An IoT and Deep Learning Approach</t>
  </si>
  <si>
    <t>Machine Learning and Deep Learning Methods in Mining Operations: a Data-Driven SAG Mill Energy Consumption Prediction Application</t>
  </si>
  <si>
    <t>Adaptive Aeration Control in SBR: An Inverse Neural Network Approach Under Ammonia Discharge Constraints and Energy Efficiency</t>
  </si>
  <si>
    <t>Building Energy Efficiency Evaluation Based on Neural Network</t>
  </si>
  <si>
    <t>High Energy Efficiency Neural Network Processor with Combined Digital and Computing-in-Memory Architecture</t>
  </si>
  <si>
    <t>Artificial neural networks-based improved Levenberg-Marquardt neural network for energy efficiency and anomaly detection in WSN</t>
  </si>
  <si>
    <t>In-sensor neural network for high energy efficiency analog-to-information conversion</t>
  </si>
  <si>
    <t>A memristive neural network based matrix equation solver with high versatility and high energy efficiency</t>
  </si>
  <si>
    <t>Pruning for Power: Optimizing Energy Efficiency in IoT with Neural Network Pruning</t>
  </si>
  <si>
    <t>Design of a Control System Using an ANN to Optimize the Energy Efficiency of Water Distribution Systems</t>
  </si>
  <si>
    <t>Design and Analysis of an Improved ANN Controller for the Energy Efficiency Enhancement of Wind Power Plant</t>
  </si>
  <si>
    <t>An Analysis of Wind Energy Generation by Placing Wind Turbine Using ANN to Improve Energy Efficiency of WSN</t>
  </si>
  <si>
    <t>Deep Spiking Neural Network: Energy Efficiency Through Time Based Coding</t>
  </si>
  <si>
    <t>Using ANN for VM Consolidation Approach to Enhance Energy Efficiency in Green Cloud</t>
  </si>
  <si>
    <t>Memory Bandwidth and Energy Efficiency Optimization of Deep Convolutional Neural Network Accelerators</t>
  </si>
  <si>
    <t>Energy-Aware Neural Architecture Search: Leveraging Genetic Algorithms for Balancing Performance and Consumption</t>
  </si>
  <si>
    <t>TOTALS - 45 PAPERS SCREENED</t>
  </si>
  <si>
    <t>Total Papers: 14/14</t>
  </si>
  <si>
    <t>Total Papers: 5/5</t>
  </si>
  <si>
    <t>Springer — Title Screening (link.springer.com)</t>
  </si>
  <si>
    <t>Detection of suspicious patterns of energy consumption using neural network trained by generated samples</t>
  </si>
  <si>
    <t>Application of Linear Regression and ANN for Load Forecasting the Consumption of Fuel and Energy Resources Train Traction</t>
  </si>
  <si>
    <t>UAV Energy Consumption Prediction: A Comparative Study from Four Different Deep Learning Models</t>
  </si>
  <si>
    <t>Applied Deep Learning Approaches for Energy Consumption Prediction</t>
  </si>
  <si>
    <t>Energy Consumption Prediction and Optimal Control of HVAC Systems Based on Deep Learning</t>
  </si>
  <si>
    <t>Image-Classifier Deep CNN Training by 9-bit Dedicated Hardware to Realize Validation Accuracy and Energy Efficiency Superior to Half Precision Floating Point</t>
  </si>
  <si>
    <t>Unleashing Energy-Efficiency: Neural Architecture Search without Training for Spiking Neural Networks on Loihi Chip</t>
  </si>
  <si>
    <t>EC-NAS: Energy Consumption Aware Tabular Benchmarks for Neural Architecture Search</t>
  </si>
  <si>
    <t>Automatic Control Optimization of New Energy Vehicle Battery Management System Based on Neural Architecture Search</t>
  </si>
  <si>
    <t>Neural Architecture Search-Guided Physics-Informed Neural Network for Energy Management in Hybrid Energy Storage System with Electric Vehicles</t>
  </si>
  <si>
    <t>Mixed Precision Neural Architecture Search for Energy Efficient Deep Learning</t>
  </si>
  <si>
    <t>Xpert: Peripheral Circuit &amp; Neural Architecture Co-search for Area and Energy-efficient Xbar-based Computing</t>
  </si>
  <si>
    <t>SFNAS-DDPG: A Biomass-Based Energy Hub Dynamic Scheduling Approach via Connecting Supervised Federated NAS and Deep Deterministic Policy Gradient</t>
  </si>
  <si>
    <t>Energy-Aware Integrated Neural Architecture Search and Partitioning for Distributed IoT</t>
  </si>
  <si>
    <t>An Improved Actor-Critic Reinforcement Learning with NAS for the Optimal Control Strategy of a Multi-Carrier Energy System</t>
  </si>
  <si>
    <t>Energy-Friendly Federated Neural Architecture Search for Industrial Cyber-Physical Systems</t>
  </si>
  <si>
    <t>Energy-Aware Deep Neural Architecture Search for Carbon-Efficient AI on Resource-Constrained Devices</t>
  </si>
  <si>
    <t>ERSAM: Neural Architecture Search for Energy-Efficient and Real-Time Social Ambiance Measurement</t>
  </si>
  <si>
    <t>Early-Exit Neural Architecture Search for Energy-Harvesting Edge Computing</t>
  </si>
  <si>
    <t>Total Papers: 13/13</t>
  </si>
  <si>
    <t>TOTALS - 42 PAPERS SCREENED</t>
  </si>
  <si>
    <t>Total Papers: 24/24</t>
  </si>
  <si>
    <t>Title: "neural network" AND "energy consumption" AND "training"</t>
  </si>
  <si>
    <t>Title: "deep learning" AND "energy consumption" AND "prediction"</t>
  </si>
  <si>
    <t>Title: "carbon footprint" AND "deep learning" AND "training"</t>
  </si>
  <si>
    <t>Title: "energy efficiency" AND "neural network" AND "training"</t>
  </si>
  <si>
    <t>Title:"energy efficiency" AND "neural network" AND "training"</t>
  </si>
  <si>
    <t>2017-2026</t>
  </si>
  <si>
    <t>Sign in to get the ADVANCED Search.Checked need a subscription it seems</t>
  </si>
  <si>
    <t>Searching is quite confusing rn likeee.</t>
  </si>
  <si>
    <t>dashboard for stats</t>
  </si>
  <si>
    <t>ACM Digital Library — Title Screening (dl.acm.org)</t>
  </si>
  <si>
    <t>IEEE — Title Screening (elsevier.com)</t>
  </si>
  <si>
    <t>Science Direct — Title Screening (sciencedirect.com)</t>
  </si>
  <si>
    <t>Scopus — Title Screening (scopus.com)</t>
  </si>
  <si>
    <t>Web of Science — Title Screening (webofscience.com)</t>
  </si>
  <si>
    <t>A Study on Improved Grey Wolf Optimizer-BP Neural Network for Building Energy Consumption Prediction</t>
  </si>
  <si>
    <t>Research on Green Building Energy Consumption Prediction Model Based on LSTM Neural Networks</t>
  </si>
  <si>
    <t>EnergyShield: Provably-Safe Offloading of Neural Network Controllers for Energy Efficiency</t>
  </si>
  <si>
    <t>PowerLens: An Adaptive DVFS Framework for Optimizing Energy Efficiency in Deep Neural Networks</t>
  </si>
  <si>
    <t>Maximizing Energy Efficiency in Spiking Neural Networks: A Dynamic Joint Pruning Framework</t>
  </si>
  <si>
    <t>SYNtzulA: Open-Source Hardware for Energy-Efficient Spiking Neural Network Inference</t>
  </si>
  <si>
    <t>ERGo: Energy-Efficient Hybrid Graph Neural Network Training on Processing-in-Memory Architectures</t>
  </si>
  <si>
    <t>Towards Energy-efficient Audio-visual Classification via Multimodal Interactive Spiking Neural Network</t>
  </si>
  <si>
    <t>Reuse and Blend: A Weight-Sharing Energy-Efficient Optical Neural Network</t>
  </si>
  <si>
    <t>Energy-Efficient and Dequantization-Free Quantization of LLMs: A Spiking Neural Network Approach to Salient Value Mitigation</t>
  </si>
  <si>
    <t>EESiamese: Energy-efficient Siamese Neural Network for Constrained Devices</t>
  </si>
  <si>
    <t>Spiking-NeRF: Spiking Neural Network for Energy-Efficient Neural Rendering</t>
  </si>
  <si>
    <t>GINA: Exploiting Graph Neural Network Layer Features for Energy Efficient Inferencing in NVM-based PIM Accelerators</t>
  </si>
  <si>
    <t>FINN-HPC: Closing the Gap for Energy-Efficient Neural Network Inference on FPGAs in HPC</t>
  </si>
  <si>
    <t>Selective Data Protection for Energy-Efficient Deep Neural Network Inference in Intermittent IoT Systems</t>
  </si>
  <si>
    <t>An Energy-Efficient 3D Point Neural Network Accelerator with Fine-grained LiDAR-SoC Pipeline Structure</t>
  </si>
  <si>
    <t>BiNeuroRAM: Energy-Efficient ReRAM-Based PIM for Accurate Bipolar Spiking Neural Network Acceleration</t>
  </si>
  <si>
    <t>An Energy-Efficient Parallelism Scheme for Deep Neural Network Training And Inferencing on Heterogeneous Cloud Resources</t>
  </si>
  <si>
    <t>Efficient neural network representations for energy data analytics on embedded systems</t>
  </si>
  <si>
    <t>Energy Efficient and Secure Neural Network–based Disease Detection Framework for Mobile Healthcare Network</t>
  </si>
  <si>
    <t>SYNTHNET: A High-Throughput Yet Energy-Efficient Combinational Logic Neural Network</t>
  </si>
  <si>
    <t>Optimizing Neural Network Efficiency with Hybrid Magnitude-Based and Node Pruning for Energy-efficient Computing in IoT</t>
  </si>
  <si>
    <t>Power-aware pruning for ultrafast, energy-efficient, and accurate optical neural network design</t>
  </si>
  <si>
    <t>SONIC: A Sparse Neural Network Inference Accelerator with Silicon Photonics for Energy-Efficient Deep Learning</t>
  </si>
  <si>
    <t>SparkXD: A Framework for Resilient and Energy-Efficient Spiking Neural Network Inference Using Approximate DRAM</t>
  </si>
  <si>
    <t>Refresh Triggered Computation: Improving the Energy Efficiency of Convolutional Neural Network Accelerators</t>
  </si>
  <si>
    <t>High speed and energy efficient deep neural network for edge computing</t>
  </si>
  <si>
    <t>ESNreram: An Energy-Efficient Sparse Neural Network Based on Resistive Random-Access Memory</t>
  </si>
  <si>
    <t>Domain Wall Memory based Convolutional Neural Networks for Bit-width Extendability and Energy-Efficiency</t>
  </si>
  <si>
    <t>A time-to-first-spike coding and conversion aware training for energy-efficient deep spiking neural network processor design</t>
  </si>
  <si>
    <t>Processing-in-memory for energy-efficient neural network training: a heterogeneous approach</t>
  </si>
  <si>
    <t>Towards Fast and Energy-Efficient Binarized Neural Network Inference on FPGA</t>
  </si>
  <si>
    <t>Sensitivity based Error Resilient Techniques for Energy Efficient Deep Neural Network Accelerators</t>
  </si>
  <si>
    <t>HAWIS: Hardware-Aware Automated WIdth Search for Accurate, Energy-Efficient and Robust Binary Neural Network on ReRAM Dot-Product Engine</t>
  </si>
  <si>
    <t>Energy-efficient neural network accelerator based on outlier-aware low-precision computation</t>
  </si>
  <si>
    <t>AEP: an error-bearing neural network accelerator for energy efficiency and model protection</t>
  </si>
  <si>
    <t>Energy-efficient, high-performance, highly-compressed deep neural network design using block-circulant matrices</t>
  </si>
  <si>
    <t>Dynamic Approximation with Feedback Control for Energy-Efficient Recurrent Neural Network Hardware</t>
  </si>
  <si>
    <t>Energy Efficient RRAM Spiking Neural Network for Real Time Classification</t>
  </si>
  <si>
    <t>A high-throughput and energy-efficient RRAM-based convolutional neural network using data encoding and dynamic quantization</t>
  </si>
  <si>
    <t>ViraEye: An Energy-Efficient Stereo Vision Accelerator with Binary Neural Network in 55 nm CMOS</t>
  </si>
  <si>
    <t>CREAM: computing in ReRAM-assisted energy and area-efficient SRAM for neural network acceleration</t>
  </si>
  <si>
    <t>GoSPA: an energy-efficient high-performance globally optimized sparse convolutional neural network accelerator</t>
  </si>
  <si>
    <t>PCM: precision-controlled memory system for energy efficient deep neural network training</t>
  </si>
  <si>
    <t>TIE: energy-efficient tensor train-based inference engine for deep neural network</t>
  </si>
  <si>
    <t>EDEN: Enabling Energy-Efficient, High-Performance Deep Neural Network Inference Using Approximate DRAM</t>
  </si>
  <si>
    <t>BitBlade: Area and Energy-Efficient Precision-Scalable Neural Network Accelerator with Bitwise Summation</t>
  </si>
  <si>
    <t>CMP-PIM: an energy-efficient comparator-based processing-in-memory neural network accelerator</t>
  </si>
  <si>
    <t>IMC: energy-efficient in-memory convolver for accelerating binarized deep neural network</t>
  </si>
  <si>
    <t>AERIS: area/energy-efficient 1T2R ReRAM based processing-in-memory neural network system-on-a-chip</t>
  </si>
  <si>
    <t>Enabling a new era of brain-inspired computing: energy-efficient spiking neural network with ring topology</t>
  </si>
  <si>
    <t>IMCE: energy-efficient bit-wise &lt;u&gt;i&lt;/u&gt;n-&lt;u&gt;m&lt;/u&gt;emory &lt;u&gt;c&lt;/u&gt;onvolution &lt;u&gt;e&lt;/u&gt;ngine for deep neural network</t>
  </si>
  <si>
    <t>Energy-Efficient Probabilistic Bayesian Neural Networks for Resource-Constrained Environments</t>
  </si>
  <si>
    <t>SCSC: Leveraging Sparsity and Fault-Tolerance for Energy-Efficient Spiking Neural Networks</t>
  </si>
  <si>
    <t>E-QUARTIC: Energy Efficient Edge Ensemble of Convolutional Neural Networks for Resource-Optimized Learning</t>
  </si>
  <si>
    <t>MINT: Multiplier-Less INTeger Quantization for Energy Efficient Spiking Neural Networks</t>
  </si>
  <si>
    <t>Towards Energy-Efficient Spiking Neural Networks: A Robust Hybrid CMOS-Memristive Accelerator</t>
  </si>
  <si>
    <t>TQ-TTFS: High-Accuracy and Energy-Efficient Spiking Neural Networks Using Temporal Quantization Time-to-First-Spike Neuron</t>
  </si>
  <si>
    <t>EENet: Energy Efficient Neural Networks with Run-Time Power Management</t>
  </si>
  <si>
    <t>Hardware Accelerators for Spiking Neural Networks for Energy-Efficient Edge Computing</t>
  </si>
  <si>
    <t>SHARP: An Adaptable, Energy-Efficient Accelerator for Recurrent Neural Networks</t>
  </si>
  <si>
    <t>Session details: Energy Efficient Neural Networks via Approximate Computations</t>
  </si>
  <si>
    <t>SwitchX: Gmin-Gmax Switching for Energy-efficient and Robust Implementation of Binarized Neural Networks on ReRAM Xbars</t>
  </si>
  <si>
    <t>Multi-Complexity-Loss DNAS for Energy-Efficient and Memory-Constrained Deep Neural Networks</t>
  </si>
  <si>
    <t>Correlation-based regularization for fast and energy-efficient spiking neural networks</t>
  </si>
  <si>
    <t>Adaptive Computation Reuse for Energy-Efficient Training of Deep Neural Networks</t>
  </si>
  <si>
    <t>An Energy-Efficient Bit-Split-and-Combination Systolic Accelerator for NAS-Based Multi-Precision Convolution Neural Networks</t>
  </si>
  <si>
    <t>Energy-Efficient Models for High-Dimensional Spike Train Classification using Sparse Spiking Neural Networks</t>
  </si>
  <si>
    <t>SpikeDyn: A Framework for Energy-Efficient Spiking Neural Networks with Continual and Unsupervised Learning Capabilities in Dynamic Environments</t>
  </si>
  <si>
    <t>Energy-Efficient Deep Neural Networks with Mixed-Signal Neurons and Dense-Local and Sparse-Global Connectivity</t>
  </si>
  <si>
    <t>Energy-Efficient Machine Learning Accelerator for Binary Neural Networks</t>
  </si>
  <si>
    <t>An Energy-Efficient Inference Method in Convolutional Neural Networks Based on Dynamic Adjustment of the Pruning Level</t>
  </si>
  <si>
    <t>AxR-NN: Approximate Computation Reuse for Energy-Efficient Convolutional Neural Networks</t>
  </si>
  <si>
    <t>Efficient Techniques for Training the Memristor-based Spiking Neural Networks Targeting Better Speed, Energy and Lifetime</t>
  </si>
  <si>
    <t>Energy-efficient Design of MTJ-based Neural Networks with Stochastic Computing</t>
  </si>
  <si>
    <t>Dynamic Beam Width Tuning for Energy-Efficient Recurrent Neural Networks</t>
  </si>
  <si>
    <t>Energy-efficient and high-performance NoC architecture and mapping solution for deep neural networks</t>
  </si>
  <si>
    <t>Energy-efficient, low-latency realization of neural networks through boolean logic minimization</t>
  </si>
  <si>
    <t>Quantized deep neural networks for energy efficient hardware-based inference</t>
  </si>
  <si>
    <t>STDP-based Unsupervised Feature Learning using Convolution-over-time in Spiking Neural Networks for Energy-Efficient Neuromorphic Computing</t>
  </si>
  <si>
    <t>Energy and Performance Efficient Computation Offloading for Deep Neural Networks in a Mobile Cloud Computing Environment</t>
  </si>
  <si>
    <t>Design of an Energy-Efficient Accelerator for Training of Convolutional Neural Networks using Frequency-Domain Computation</t>
  </si>
  <si>
    <t>A 7.663-TOPS 8.2-W Energy-efficient FPGA Accelerator for Binary Convolutional Neural Networks (Abstract Only)</t>
  </si>
  <si>
    <t>Energy efficient neural networks for big data analytics</t>
  </si>
  <si>
    <t>Albireo: energy-efficient acceleration of convolutional neural networks via silicon photonics</t>
  </si>
  <si>
    <t>DRMap: a generic DRAM data mapping policy for energy-efficient processing of convolutional neural networks</t>
  </si>
  <si>
    <t>E-PUR: an energy-efficient processing unit for recurrent neural networks</t>
  </si>
  <si>
    <t>Compensated-DNN: energy efficient low-precision deep neural networks by compensating quantization errors</t>
  </si>
  <si>
    <t>RESPARC: A Reconfigurable and Energy-Efficient Architecture with Memristive Crossbars for Deep Spiking Neural Networks</t>
  </si>
  <si>
    <t>Eyeriss: a spatial architecture for energy-efficient dataflow for convolutional neural networks</t>
  </si>
  <si>
    <t>[Title: energy efficiency] AND [Title: neural network]</t>
  </si>
  <si>
    <t>[Title: deep learning] AND [Title: energy consumption] AND [Title: prediction]</t>
  </si>
  <si>
    <t>[Title: neural network] AND [Title: energy consumption] AND [Title: training]</t>
  </si>
  <si>
    <t>TOTALS - 83 PAPERS SCREENED</t>
  </si>
  <si>
    <t>Total Papers: 89/89</t>
  </si>
  <si>
    <t>EXCLUDE</t>
  </si>
  <si>
    <t>Hardware-level: DVFS (voltage-frequency scaling) circuit optimisation for NN chips — hardware engineering, not energy prediction</t>
  </si>
  <si>
    <t>Hardware-level: Proposes a new pruning circuit/framework for SNN chip design — hardware engineering</t>
  </si>
  <si>
    <t>Hardware-level: Designs open-source hardware chip for SNN inference — chip design</t>
  </si>
  <si>
    <t>Hardware-level: Processing-in-Memory (PIM) chip design for GNN training — chip architecture</t>
  </si>
  <si>
    <t>Hardware-level: SNN-based multimodal classification chip for energy-efficient inference — chip/circuit design</t>
  </si>
  <si>
    <t>Hardware-level: Weight-sharing optical NN chip design — photonic hardware</t>
  </si>
  <si>
    <t>Hardware-level: Quantization for SNN targeting LLM hardware deployment — hardware-focused quantization</t>
  </si>
  <si>
    <t>Hardware-level: Designs energy-efficient Siamese NN for constrained hardware devices — hardware engineering</t>
  </si>
  <si>
    <t>Hardware-level: SNN chip for neural rendering — hardware architecture</t>
  </si>
  <si>
    <t>Hardware-level: Exploits GNN layer features for NVM-based PIM chip inference — PIM chip design</t>
  </si>
  <si>
    <t>Hardware-level: FPGA circuit implementation for energy-efficient NN inference — FPGA circuit design</t>
  </si>
  <si>
    <t>Hardware-level: Data protection circuit for DNN inference on IoT hardware — hardware circuit</t>
  </si>
  <si>
    <t>Hardware-level: Designs 3D point NN accelerator chip with LiDAR SoC pipeline — chip design</t>
  </si>
  <si>
    <t>Hardware-level: ReRAM-based PIM chip for bipolar SNN — memory chip design</t>
  </si>
  <si>
    <t>KEEP</t>
  </si>
  <si>
    <t>Proposes energy-efficient parallelism scheme for DNN training &amp; inference on heterogeneous cloud — relevant to training/inference energy across configurations</t>
  </si>
  <si>
    <t>Hardware-level: Designs combinational logic NN circuit (SYNTHNET) — digital circuit design</t>
  </si>
  <si>
    <t>Hardware-level: Pruning scheme targeting IoT hardware device efficiency — hardware-focused</t>
  </si>
  <si>
    <t>Hardware-level: Optical NN chip pruning for photonic hardware — photonic chip design</t>
  </si>
  <si>
    <t>Hardware-level: Silicon photonics inference accelerator chip — photonic hardware chip</t>
  </si>
  <si>
    <t>Hardware-level: SNN inference on approximate DRAM hardware — DRAM chip design</t>
  </si>
  <si>
    <t>Hardware-level: Refresh-triggered computation circuit for CNN accelerator chip — circuit design</t>
  </si>
  <si>
    <t>Proposes fast, energy-efficient DNN for edge computing — studies energy vs speed trade-off of model configurations, relevant to energy estimation</t>
  </si>
  <si>
    <t>Hardware-level: Sparse NN on ReRAM resistive memory chip — memory chip design</t>
  </si>
  <si>
    <t>Hardware-level: Domain wall memory-based CNN chip for bit-width extendability — exotic memory hardware</t>
  </si>
  <si>
    <t>Hardware-level: Spiking NN processor chip design with time-to-first-spike coding — chip/processor design</t>
  </si>
  <si>
    <t>Hardware-level: PIM chip architecture for NN training — heterogeneous PIM chip</t>
  </si>
  <si>
    <t>Hardware-level: FPGA circuit for binarized NN inference — FPGA circuit design</t>
  </si>
  <si>
    <t>Hardware-level: Error-resilient circuit techniques for DNN accelerator chip — circuit design</t>
  </si>
  <si>
    <t>Hardware-level: ReRAM dot-product engine hardware for binary NN — ReRAM chip design</t>
  </si>
  <si>
    <t>Hardware-level: NN accelerator chip with outlier-aware low-precision circuits — chip design</t>
  </si>
  <si>
    <t>Hardware-level: Error-bearing NN accelerator chip for model protection — hardware accelerator chip</t>
  </si>
  <si>
    <t>Hardware-level: Block-circulant matrix compression for DNN hardware — hardware-focused compression</t>
  </si>
  <si>
    <t>DUPLICATE — same as #31; also hardware-level chip design</t>
  </si>
  <si>
    <t>Hardware-level: Dynamic approximation feedback control for RNN hardware chip — hardware circuit</t>
  </si>
  <si>
    <t>Hardware-level: RRAM-based SNN chip for real-time classification — RRAM chip design</t>
  </si>
  <si>
    <t>Hardware-level: RRAM-based CNN chip with data encoding — RRAM chip design</t>
  </si>
  <si>
    <t>Hardware-level: Stereo vision accelerator chip with binary NN in 55nm CMOS — chip fabrication</t>
  </si>
  <si>
    <t>Hardware-level: ReRAM+SRAM hybrid chip for NN acceleration — memory chip design</t>
  </si>
  <si>
    <t>Hardware-level: Sparse CNN accelerator chip (GoSPA) — chip architecture</t>
  </si>
  <si>
    <t>Precision-controlled memory system for energy-efficient DNN training — studies energy impact of numerical precision on training, relevant to energy benchmarking</t>
  </si>
  <si>
    <t>Hardware-level: Tensor-train inference engine chip for DNN — chip design</t>
  </si>
  <si>
    <t>Hardware-level: DNN inference on approximate DRAM hardware (EDEN) — DRAM chip design</t>
  </si>
  <si>
    <t>Hardware-level: Precision-scalable NN accelerator chip (BitBlade) — chip design</t>
  </si>
  <si>
    <t>Hardware-level: Comparator-based PIM chip for NN (CMP-PIM) — PIM chip design</t>
  </si>
  <si>
    <t>Hardware-level: In-memory convolver chip for binarized DNN (IMC) — memory chip design</t>
  </si>
  <si>
    <t>Hardware-level: ReRAM PIM NN system-on-chip (AERIS) — chip fabrication</t>
  </si>
  <si>
    <t>Hardware-level: SNN chip with ring topology — neuromorphic chip design</t>
  </si>
  <si>
    <t>Hardware-level: In-memory convolution engine chip (IMCE) — chip design</t>
  </si>
  <si>
    <t>Hardware-level: Bayesian NN circuit for resource-constrained hardware — hardware-focused</t>
  </si>
  <si>
    <t>Hardware-level: Sparsity-based SNN chip design (SCSC) — circuit design</t>
  </si>
  <si>
    <t>Hardware-level: Edge ensemble CNN chip for resource-optimised learning — hardware circuit</t>
  </si>
  <si>
    <t>Hardware-level: Multiplier-less quantization hardware for SNN — digital circuit design</t>
  </si>
  <si>
    <t>Hardware-level: CMOS-Memristive accelerator chip for SNN — chip fabrication</t>
  </si>
  <si>
    <t>Hardware-level: SNN chip with temporal quantization (TQ-TTFS) — chip design</t>
  </si>
  <si>
    <t>EENet: runtime power management for NNs — studies energy consumption of NN models dynamically, relevant to energy monitoring/prediction</t>
  </si>
  <si>
    <t>Hardware-level: Hardware accelerator chip for SNN edge computing — chip design</t>
  </si>
  <si>
    <t>Hardware-level: Recurrent NN accelerator chip (SHARP) — hardware chip</t>
  </si>
  <si>
    <t>Hardware-level: ReRAM crossbar chip for binarized NNs (SwitchX) — ReRAM chip design</t>
  </si>
  <si>
    <t>DNAS (differentiable NAS) searching for energy-efficient and memory-constrained DNNs — NAS with energy as cost metric, relevant to energy-aware architecture search</t>
  </si>
  <si>
    <t>Hardware-level: Regularization technique for SNN hardware efficiency — hardware-targeted training</t>
  </si>
  <si>
    <t>Adaptive computation reuse for energy-efficient DNN training — studies energy reduction during training; relevant to training energy characterisation</t>
  </si>
  <si>
    <t>Hardware-level: Systolic accelerator chip for NAS-based multi-precision CNNs — chip design</t>
  </si>
  <si>
    <t>Hardware-level: Sparse SNN chip for spike train classification — chip/circuit design</t>
  </si>
  <si>
    <t>Hardware-level: SNN framework with energy-efficient continual learning on hardware — hardware-focused SNN</t>
  </si>
  <si>
    <t>Hardware-level: DNN with mixed-signal neuron circuits — analogue/digital circuit design</t>
  </si>
  <si>
    <t>Hardware-level: ML accelerator chip for binary NNs — chip design</t>
  </si>
  <si>
    <t>Dynamic pruning-level adjustment for energy-efficient CNN inference — studies inference energy as function of pruning decisions; relevant to energy prediction from model config</t>
  </si>
  <si>
    <t>Hardware-level: Approximate computation reuse circuit for CNN — hardware circuit technique</t>
  </si>
  <si>
    <t>Hardware-level: Training techniques for memristor-based SNN hardware — memristor chip training</t>
  </si>
  <si>
    <t>Hardware-level: MTJ (magnetic tunnel junction) device-based NN with stochastic computing — exotic hardware design</t>
  </si>
  <si>
    <t>Dynamic beam width tuning for energy-efficient RNNs — studies how RNN architectural configuration (beam width) affects energy; relevant to energy prediction from config features</t>
  </si>
  <si>
    <t>Hardware-level: NoC (Network-on-Chip) architecture for DNN chip — chip interconnect design</t>
  </si>
  <si>
    <t>Hardware-level: Boolean logic minimisation for NN circuit realisation — digital circuit design</t>
  </si>
  <si>
    <t>Quantized DNNs for energy-efficient hardware inference — studies how quantization (model config) affects energy consumption; relevant to energy benchmarking</t>
  </si>
  <si>
    <t>Hardware-level: STDP-based SNN on neuromorphic chip — neuromorphic hardware</t>
  </si>
  <si>
    <t>Energy-efficient computation offloading for DNNs in mobile cloud — studies energy trade-offs of DNN offloading decisions; relevant to DNN energy characterisation across deployment configs</t>
  </si>
  <si>
    <t>Hardware-level: Frequency-domain computation accelerator chip for CNN training — chip design</t>
  </si>
  <si>
    <t>Hardware-level: FPGA accelerator chip for binary CNNs (abstract only, no full paper) — chip design</t>
  </si>
  <si>
    <t>Hardware-level: Silicon photonics CNN acceleration chip (Albireo) — photonic chip design</t>
  </si>
  <si>
    <t>Hardware-level: DRAM data mapping policy for CNN chip — memory-level hardware optimisation</t>
  </si>
  <si>
    <t>Hardware-level: Energy-efficient processing unit chip for RNNs (E-PUR) — chip design</t>
  </si>
  <si>
    <t>Compensated-DNN: energy-efficient low-precision DNNs via quantization error compensation — studies how quantization configuration affects DNN energy; relevant to energy vs precision benchmarking</t>
  </si>
  <si>
    <t>Hardware-level: Memristive crossbar chip for spiking NNs (RESPARC) — chip fabrication</t>
  </si>
  <si>
    <t>Eyeriss: spatial architecture studying energy-efficient dataflow for CNNs — foundational work on how CNN architecture/dataflow choices affect energy; highly cited, relevant to energy characterisation</t>
  </si>
  <si>
    <t>Models DL energy consumption as a function of transistor operations — directly studies DL training/inference energy scaling; relevant to energy prediction from model parameters</t>
  </si>
  <si>
    <t>Predicts inference time and energy consumption of DL models using MLPs — directly predicts DL model energy; highly relevant to thesis</t>
  </si>
  <si>
    <t>Green AI: carbon footprint of fine-tuning pre-trained DL models — measures training energy and carbon; directly relevant to Green AI / energy of training</t>
  </si>
  <si>
    <t>IEEE</t>
  </si>
  <si>
    <t>DUPLICATE of #87</t>
  </si>
  <si>
    <t>Hardware-level: 9-bit dedicated hardware chip for CNN training — chip fabrication</t>
  </si>
  <si>
    <t>NAS without training for energy-efficient SNNs on Loihi chip — NAS with energy as a key cost metric; relevant to energy-aware NAS</t>
  </si>
  <si>
    <t>EC-NAS: energy consumption tabular benchmarks for NAS — directly creates energy benchmarks for NAS; core to thesis on energy benchmarking</t>
  </si>
  <si>
    <t>DUPLICATE of #90</t>
  </si>
  <si>
    <t>Mixed precision NAS for energy-efficient DL — NAS optimising energy as cost metric across precision configurations; relevant</t>
  </si>
  <si>
    <t>Hardware-level: Peripheral circuit + NAS co-search for xbar chip — chip co-design</t>
  </si>
  <si>
    <t>Energy-aware NAS and partitioning for distributed IoT — NAS with energy awareness across architecture configurations; relevant</t>
  </si>
  <si>
    <t>Energy-aware DNN architecture search for carbon-efficient AI — NAS explicitly targeting carbon/energy efficiency; directly relevant</t>
  </si>
  <si>
    <t>Phoeni6: systematic approach for evaluating NN energy consumption — directly proposes energy evaluation framework for NNs; highly relevant</t>
  </si>
  <si>
    <t>Estimating NN energy with joint structure-device encoding — estimates energy from NN structure features; directly relevant to thesis</t>
  </si>
  <si>
    <t>Trends in AI inference energy: beyond performance-vs-parameter laws — analyses how DL architecture parameters relate to inference energy; directly relevant</t>
  </si>
  <si>
    <t>Review of hardware accelerators for CNN inference energy-efficiency — survey of energy efficiency strategies for CNN inference; relevant as background</t>
  </si>
  <si>
    <t>Hardware-level: FPGA-based NN inference accelerator via approximate computing — chip/FPGA circuit design focus</t>
  </si>
  <si>
    <t>Hardware-level: STCSNN spike-train SNN chip with spatio-temporal conversion — chip/circuit design</t>
  </si>
  <si>
    <t>ETNAS: energy consumption task-driven NAS — NAS driven by energy consumption as the primary objective; directly relevant</t>
  </si>
  <si>
    <t>Reducing NAS energy via inference latency prediction — predicts energy/latency to make NAS more energy-efficient; directly relevant</t>
  </si>
  <si>
    <t>Latency and energy consumption of CNN models from IoT edge perspective — benchmarks CNN model energy across architectures on edge devices; directly relevant</t>
  </si>
  <si>
    <t>Hardware-level: NN processor chip combining digital and CIM circuits — chip design</t>
  </si>
  <si>
    <t>Pruning for power: NN pruning effect on energy efficiency in IoT — studies how pruning (model config) reduces NN energy consumption; relevant</t>
  </si>
  <si>
    <t>Hardware-level: Deep SNN with time-based coding for energy efficiency — SNN hardware coding scheme</t>
  </si>
  <si>
    <t>ANN for VM consolidation for energy efficiency in Green Cloud — studies how NN-based decisions affect cloud energy; relevant to Green AI / energy of ML systems</t>
  </si>
  <si>
    <t>Hardware-level: Memory bandwidth and energy optimisation of CNN accelerator chip — chip memory design</t>
  </si>
  <si>
    <t>Energy-aware NAS using genetic algorithms for performance and energy balance — NAS with energy as cost metric; relevant to energy-aware architecture search</t>
  </si>
  <si>
    <t>STATUS</t>
  </si>
  <si>
    <t>TOTALS</t>
  </si>
  <si>
    <t>DUPLICATE</t>
  </si>
  <si>
    <t>Final Selection — Deduplicated Papers for Synthesis</t>
  </si>
  <si>
    <t>Abstract Screening — Summary Sheet (30 papers from Final Title Screening)</t>
  </si>
  <si>
    <t>Pool #</t>
  </si>
  <si>
    <t>Source</t>
  </si>
  <si>
    <t>Abstract Summary</t>
  </si>
  <si>
    <t>Reason</t>
  </si>
  <si>
    <t>Addresses the growing energy cost of large DNN training on distributed cloud hardware. Proposes data and model parallelism strategies that partition models across heterogeneous CPU/GPU nodes to reduce power consumption. Measures actual CPU, GPU, and RAM power during experiments and includes a carbon footprint analysis converting power to CO2 equivalent.</t>
  </si>
  <si>
    <t>Proposes a DNN architecture optimised for speed and energy efficiency on edge computing devices. Evaluates energy consumption vs accuracy trade-offs for different model configurations in resource-constrained edge deployment settings.</t>
  </si>
  <si>
    <t>Primary focus is on proposing a specific fast/efficient DNN architecture for edge deployment, not on predicting or modelling energy from architecture features. Hardware-engineering orientation.</t>
  </si>
  <si>
    <t>Introduces a precision-controlled memory system to reduce energy during DNN training by managing numerical precision levels. Empirically studies how precision configuration choices affect training energy consumption across different model types.</t>
  </si>
  <si>
    <t>Primarily a hardware memory system design paper — proposes a new memory architecture to reduce training energy. Not about predicting energy from model features.</t>
  </si>
  <si>
    <t>Proposes EENet, a plug-in module for DNNs that introduces run-time power management via early exit combined with DVFS (dynamic voltage-frequency scaling). Achieves up to 63.8% energy saving vs classic DNNs by dynamically selecting exit points based on inference complexity.</t>
  </si>
  <si>
    <t>Focuses on a runtime system mechanism to save energy dynamically rather than predicting or benchmarking energy from model architecture features. Engineering solution, not measurement/prediction study.</t>
  </si>
  <si>
    <t>Proposes a differentiable NAS (DNAS) method using a multi-complexity loss function to search for DNNs that satisfy both energy efficiency and memory constraints simultaneously. Optimises the search process to find architectures with minimal energy footprint without sacrificing accuracy.</t>
  </si>
  <si>
    <t>Proposes an adaptive computation reuse method that reduces redundant computations during DNN training, thereby reducing energy consumption. Demonstrates that architectural properties of DNNs can be exploited to achieve significant training energy savings.</t>
  </si>
  <si>
    <t>Proposes dynamically adjusting the pruning level of CNNs during inference to trade off accuracy and energy. Shows that inference energy can be controlled by configuring the pruning level — a model architecture/configuration parameter.</t>
  </si>
  <si>
    <t>Studies how the beam width configuration of RNNs affects energy consumption during inference. Proposes dynamic beam width tuning as a mechanism to reduce energy while maintaining acceptable accuracy, showing beam width is a key config parameter for energy.</t>
  </si>
  <si>
    <t>Studies how quantization of DNN weights and activations (a model configuration choice) affects inference energy consumption. Provides empirical analysis of energy-precision trade-offs across multiple quantization configurations.</t>
  </si>
  <si>
    <t>Studies energy and performance trade-offs of offloading DNN computation from mobile devices to cloud. Analyses how DNN model properties and offloading configuration decisions jointly determine energy consumption in mobile cloud environments.</t>
  </si>
  <si>
    <t>Primary focus is on offloading decision-making for mobile-cloud systems rather than on predicting DNN energy from architecture features. System-level offloading study, not NN energy characterisation.</t>
  </si>
  <si>
    <t>Proposes a method to improve energy efficiency of DNNs via quantization error compensation, enabling aggressive low-precision configurations without accuracy loss. Studies the relationship between precision configuration, error compensation, and energy consumption.</t>
  </si>
  <si>
    <t>Primary contribution is a quantization error compensation algorithm. Energy is the motivation but not the subject of prediction — this is closer to a technique paper than an energy modelling paper.</t>
  </si>
  <si>
    <t>Seminal foundational paper presenting Eyeriss, a spatial architecture using a novel row-stationary (RS) dataflow to minimise data movement energy for CNNs. Provides a detailed energy analysis framework comparing different dataflows and shows how CNN layer shape parameters determine energy consumption. 10x more energy efficient than mobile GPUs.</t>
  </si>
  <si>
    <t>Develops a bottom-up Transistor Operations (TOs) model to characterise how DL model configuration (activation functions, network structure, layers) determines energy consumption. Models energy scaling laws statistically for feedforward DNNs and CNNs across hardware configurations. Achieves 93.61%–99.51% precision in predicting energy consumption from model structure.</t>
  </si>
  <si>
    <t>Introduces a two-stage MLP framework that predicts both inference time and energy consumption of DNN models. First stage predicts layer-wise inference time and energy; second stage aggregates to model-level predictions. Targets NAS, edge computing, and distributed systems applications.</t>
  </si>
  <si>
    <t>Evaluates the environmental impact of fine-tuning pre-trained DL models (Google ViT) for medical image analysis. Examines how model size, hardware architecture choice, and cloud provider affect total energy consumption and CO2 emissions. Uses CodeCarbon to measure 0.18 kWh per fine-tuning experiment.</t>
  </si>
  <si>
    <t>Proposes a training-free NAS method for Spiking Neural Networks (SNNs) that targets energy efficiency on the Loihi neuromorphic chip. Uses zero-cost proxies to estimate SNN architecture energy without expensive training, enabling rapid energy-aware architecture search.</t>
  </si>
  <si>
    <t>Specific to Spiking Neural Networks on Loihi neuromorphic hardware — narrow SNN/neuromorphic focus not aligned with thesis on standard DNN architectures (FC, CNN, RNN). Hardware-specific.</t>
  </si>
  <si>
    <t>Introduces EC-NAS, an open-source tabular benchmark that extends existing NAS benchmarks with pre-measured energy consumption data for ~423k CNN architectures. Incorporates a surrogate model to predict energy consumption, enabling multi-objective NAS that balances accuracy and energy. Demonstrates energy-lean architectures can be found with minimal accuracy loss.</t>
  </si>
  <si>
    <t>Proposes a mixed-precision NAS framework that automatically selects optimal bit-widths for DNN layers as part of architecture search, using energy as a key cost metric. Demonstrates that mixed-precision configuration significantly reduces DNN inference energy compared to uniform precision.</t>
  </si>
  <si>
    <t>Combines NAS with network partitioning for distributed IoT inference, optimising energy consumption across distributed device architectures. Energy is modelled as a function of architecture and partitioning configurations.</t>
  </si>
  <si>
    <t>Focus is on distributed IoT system-level optimisation and partitioning decisions rather than on characterising or predicting DNN energy from architecture features in a standalone setting. Too system-level.</t>
  </si>
  <si>
    <t>Proposes an energy-aware NAS framework that explicitly targets carbon efficiency by optimising DNN architectures for energy consumption on resource-constrained devices. Treats energy as the primary objective alongside accuracy in the NAS search process.</t>
  </si>
  <si>
    <t>Presents Phoeni6, a systematic framework for reproducible energy evaluation of neural networks using containerised tools, database management, and standardised methodology. Compares AlexNet vs MobileNet energy under different input configurations and shows input format (BMP vs PNG) affects energy by up to 30%.</t>
  </si>
  <si>
    <t>Introduces SDEnergy, a method using a Graph Neural Network (GNN) encoder to extract NN structural features and a device encoder for hardware context, predicting energy consumption without device-specific inference. Achieves state-of-the-art energy prediction performance using architecture structure as the key input.</t>
  </si>
  <si>
    <t>Analyses trends in AI inference energy consumption over time for computer vision and NLP models, challenging assumptions that larger models always consume more energy. Shows that architectural innovations and hardware improvements can decouple performance gains from energy growth. Inference accounts for up to 90% of ML model lifecycle energy.</t>
  </si>
  <si>
    <t>Comprehensive survey of hardware accelerator strategies for CNN inference energy efficiency, covering dataflow optimisation, memory hierarchy design, precision scaling, and sparsity exploitation. Analyses how CNN architectural properties interact with hardware to determine energy.</t>
  </si>
  <si>
    <t>Introduces ETNAS, a hardware-aware multi-objective NAS algorithm based on DARTS that searches for DNN architectures with lower power consumption while maintaining accuracy. Modifies the NAS loss function to include energy/power as a constraint, and collects power consumption data for common operators on FPGA and DSA hardware.</t>
  </si>
  <si>
    <t>Proposes an end-to-end inference latency prediction framework (LGLP using LSTM) to replace costly online latency measurement in multi-objective NAS. Predicts latency from architecture encoding, reducing the energy cost of NAS itself while enabling resource-aware NAS.</t>
  </si>
  <si>
    <t>Empirically benchmarks latency and energy consumption of popular CNN models (ResNet, MobileNet, VGG, etc.) on IoT edge devices. Analyses how model architecture choices (depth, width, operations) translate to energy and latency differences across hardware platforms.</t>
  </si>
  <si>
    <t>Studies the effect of neural network pruning (a model configuration technique) on energy consumption for IoT deployment. Empirically shows how different pruning ratios and strategies reduce inference energy, establishing a relationship between model configuration and energy.</t>
  </si>
  <si>
    <t>Proposes using ANNs to make VM consolidation decisions in cloud data centres to improve energy efficiency. The ANN learns patterns in workload data to predict when to consolidate VMs and reduce server energy.</t>
  </si>
  <si>
    <t>Uses ANN as a tool to optimise cloud infrastructure energy — not about NN's own energy consumption or predicting it from architecture features. Green Cloud infrastructure paper, not NN energy study.</t>
  </si>
  <si>
    <t>Uses genetic algorithms (NSGA-II) for NAS that optimises both accuracy and energy consumption simultaneously. Uses ML-based predictors to estimate candidate architecture performance and energy without training, creating greener NAS benchmarks.</t>
  </si>
  <si>
    <t>Carbon Emissions and Large Neural Network Training</t>
  </si>
  <si>
    <t>Manually Added</t>
  </si>
  <si>
    <t>Analyses the carbon emissions and energy consumption of training large neural networks including Transformer, T5, and GPT-3. Quantifies CO2 equivalent emissions across different hardware and cloud providers. Proposes reporting standards for energy and carbon in ML research. One of the most-cited foundational papers on the environmental cost of large-scale DNN training.</t>
  </si>
  <si>
    <t>Carbontracker: Tracking and Predicting the Carbon Footprint of Training Deep Learning Models</t>
  </si>
  <si>
    <t>Presents Carbontracker, a tool for tracking and predicting the energy consumption and carbon footprint of DNN training. Profiles actual hardware power draw during training and converts to carbon equivalent using real-time energy mix data. Enables early prediction of total training carbon cost from partial runs.</t>
  </si>
  <si>
    <t>Energy and Policy Considerations for Deep Learning in NLP</t>
  </si>
  <si>
    <t>Seminal Strubell et al. paper measuring the energy and CO2 cost of training large NLP models (Transformer, BERT, NAS). Estimates that training a single large NLP model can emit as much CO2 as five cars over their lifetimes. Calls for reporting of energy use and efficiency alongside accuracy in ML research. Foundational Green AI paper.</t>
  </si>
  <si>
    <t>Estimating the Carbon Footprint of BLOOM, a 176B Parameter Language Model</t>
  </si>
  <si>
    <t>Provides a detailed methodology for estimating the end-to-end carbon footprint of training the BLOOM 176B parameter language model, covering hardware manufacturing, training energy, and operational emissions. Uses real power measurements and grid carbon intensity. Demonstrates how model scale, hardware choice, and location affect total carbon cost.</t>
  </si>
  <si>
    <t>Estimation of Energy Consumption in Machine Learning</t>
  </si>
  <si>
    <t>Garcia-Martin et al. survey and framework for estimating energy consumption in machine learning. Reviews existing energy estimation approaches — from hardware counters to analytical models — and proposes a taxonomy. Discusses how ML algorithm type, dataset size, and hardware configuration affect energy consumption. One of the earliest comprehensive ML energy estimation surveys.</t>
  </si>
  <si>
    <t>Schwartz et al. foundational paper distinguishing Red AI (compute-intensive, accuracy-maximising) from Green AI (efficiency-first). Proposes reporting floating-point operations (FPOs) as a standard efficiency metric alongside accuracy. Analyses trends showing exponential growth in compute for marginal accuracy gains and argues for efficiency as a first-class evaluation criterion.</t>
  </si>
  <si>
    <t>Green Algorithms: Quantifying the Carbon Footprint of Computation</t>
  </si>
  <si>
    <t>Lannelongue et al. present the Green Algorithms framework and online calculator for quantifying the carbon footprint of any computational workload, including ML training. Accounts for hardware type, runtime, memory, location, and carbon intensity of the energy grid. Proposes a carbon efficiency metric and demonstrates large variation in footprint depending on geography and hardware.</t>
  </si>
  <si>
    <t>How to Estimate Carbon Footprint When Training Deep Learning Models: A Guide and Review</t>
  </si>
  <si>
    <t>Bouza et al. systematic review of methods for estimating carbon footprint during DNN training. Compares hardware measurement tools, software monitoring libraries (CodeCarbon, Carbontracker), and analytical estimation approaches. Provides practical guidance on which method to use depending on access to hardware and measurement requirements.</t>
  </si>
  <si>
    <t>NeuralPower: Predict and Deploy Energy-Efficient Convolutional Neural Networks</t>
  </si>
  <si>
    <t>Cai et al. propose NeuralPower, a framework that predicts the power and runtime of CNN layers from architectural features using polynomial regression models. Models layer-wise energy as a function of filter size, number of filters, input dimensions, and stride. Enables energy-aware NAS by predicting energy without hardware deployment — directly relevant to thesis on predicting NN energy from architecture features.</t>
  </si>
  <si>
    <t>Optimising Energy Efficiency and Performance in Machine Learning</t>
  </si>
  <si>
    <t>Donnellan et al. study the trade-off between energy efficiency and model performance in ML workloads. Empirically analyses how hyperparameter choices (batch size, model depth, width) affect energy consumption across training runs. Proposes optimisation strategies that reduce energy with minimal accuracy loss.</t>
  </si>
  <si>
    <t>Systematic Review and Experiments on Evaluating the Energy Consumption of Machine Learning</t>
  </si>
  <si>
    <t>Comprehensive systematic literature review of tools and methods for evaluating ML energy consumption at both training and inference stages. Classifies approaches into measurement (hardware power meters), data-based estimation models, analytical models, and on-chip sensors. Conducts experiments comparing tools and highlights gaps in reproducibility and standardisation.</t>
  </si>
  <si>
    <t>Trends in AI Inference Energy Consumption: Beyond the Performance-vs-Parameter Laws of Deep Learning</t>
  </si>
  <si>
    <t>Desislavov et al. analyse inference energy trends for CV and NLP models over time, showing that performance gains have outpaced energy growth due to architectural improvements. Inference accounts for up to 90% of ML energy lifecycle. Already included as Pool #99.</t>
  </si>
  <si>
    <t>Validating CodeCarbon: Comparing Estimated Emissions Against a Controlled Measurement</t>
  </si>
  <si>
    <t>Fischer et al. empirically validate the CodeCarbon energy tracking tool against controlled external power measurements. Quantifies the accuracy and limitations of software-based carbon tracking for DNN training. Identifies systematic underestimation issues and conditions under which CodeCarbon is reliable — important for methodological grounding of energy measurement in ML research.</t>
  </si>
  <si>
    <t>Watts: Driving the Cost of AI Deployment to Zero</t>
  </si>
  <si>
    <t>Luccioni et al. empirically measure the inference energy cost of a wide range of deployed ML models across task types (text generation, image classification, etc.). Analyses how model architecture, size, and task type affect per-query energy cost. Proposes efficiency metrics to benchmark deployed models and advocates for energy reporting standards in production AI.</t>
  </si>
  <si>
    <t>Zeus: Understanding and Optimizing GPU Energy Consumption of DNN Training</t>
  </si>
  <si>
    <t>You et al. (USENIX NSDI 2023) characterise the energy-performance trade-off in DNN training on GPUs, showing that batch size and GPU power limit jointly determine training energy. Propose Zeus, an online optimisation framework using Multi-Armed Bandit (Thompson Sampling) to automatically find energy-optimal job and GPU configurations. Achieves 15.3%–75.8% energy reduction across diverse workloads. Directly relevant to thesis on how DNN configuration features (batch size, power limit) affect GPU energy consumption.</t>
  </si>
  <si>
    <t>TOTAL PAPERS: 45/45 (30 from db, 15 manually found)</t>
  </si>
  <si>
    <t>Empirical Measurement — Power monitoring of CPU/GPU/RAM during distributed DNN training across parallelism strategies; Carbon footprint conversion</t>
  </si>
  <si>
    <t>During Training</t>
  </si>
  <si>
    <t>General DNN (feedforward, LLMs); Heterogeneous CPU+GPU clusters</t>
  </si>
  <si>
    <t>MED</t>
  </si>
  <si>
    <t>Differentiable NAS (DNAS) — Energy as a cost metric in architecture search loss function; multi-objective optimisation</t>
  </si>
  <si>
    <t>A priori (Architecture Search)</t>
  </si>
  <si>
    <t>CNN, general DNN; energy-constrained edge and embedded devices</t>
  </si>
  <si>
    <t>Algorithmic Optimisation — Computation reuse to reduce redundant operations during training; energy measured as training progresses</t>
  </si>
  <si>
    <t>General DNN (CNN, FC); GPU training environments</t>
  </si>
  <si>
    <t>Empirical Analysis — Dynamic pruning level adjustment; measures inference energy as a function of pruning configuration</t>
  </si>
  <si>
    <t>Post-Training (Inference)</t>
  </si>
  <si>
    <t>CNN; embedded/edge inference devices</t>
  </si>
  <si>
    <t>Empirical Analysis — Studies beam width (config parameter) vs inference energy trade-off in RNNs; dynamic tuning mechanism</t>
  </si>
  <si>
    <t>RNN; NLP/sequence modelling tasks</t>
  </si>
  <si>
    <t>Empirical Benchmarking — Measures inference energy across quantization configurations (bit-width); energy vs accuracy trade-off analysis</t>
  </si>
  <si>
    <t>DNN (CNN, FC); FPGA/ASIC hardware inference</t>
  </si>
  <si>
    <t>Analytical Energy Modelling + Hardware Implementation — Row-stationary dataflow analysis framework; measures how CNN layer shape parameters (filter size, channels, stride) determine data movement energy</t>
  </si>
  <si>
    <t>CNN (AlexNet, VGG); custom spatial accelerator chip</t>
  </si>
  <si>
    <t>HIGH</t>
  </si>
  <si>
    <t>Analytical / Statistical Modelling — Bottom-up transistor operations (TOs) model; regression linking NN structure (activation functions, layers) to measured energy; 93–99% prediction precision</t>
  </si>
  <si>
    <t>A priori / During</t>
  </si>
  <si>
    <t>Feedforward DNN, CNN (various); CPU and GPU hardware</t>
  </si>
  <si>
    <t>Predictive Modelling (ML-based) — Two-stage MLP framework predicting layer-wise then model-wise inference time and energy from architecture features</t>
  </si>
  <si>
    <t>A priori (pre-deployment prediction)</t>
  </si>
  <si>
    <t>General DNN (CNN, FC, various layer types); GPU inference</t>
  </si>
  <si>
    <t>Empirical Measurement — CodeCarbon-based tracking of energy and CO2 during ViT fine-tuning; varies model size, hardware, and cloud provider</t>
  </si>
  <si>
    <t>During Training (fine-tuning)</t>
  </si>
  <si>
    <t>Vision Transformer (ViT); GPU cloud environments</t>
  </si>
  <si>
    <t>Benchmark Dataset + Surrogate Modelling — Pre-measured energy for ~423k CNN architectures; surrogate model to predict energy from architecture encoding; multi-objective NAS</t>
  </si>
  <si>
    <t>CNN (NAS-Bench space); GPU training</t>
  </si>
  <si>
    <t>NAS + Empirical — Mixed-precision NAS that treats bit-width per layer as an architecture feature; energy measured across configurations</t>
  </si>
  <si>
    <t>General DNN (CNN, FC); GPU/edge inference</t>
  </si>
  <si>
    <t>NAS with Energy Objective — Architecture search explicitly targeting carbon/energy efficiency on constrained devices; energy as primary NAS cost metric</t>
  </si>
  <si>
    <t>General DNN; edge/IoT resource-constrained devices</t>
  </si>
  <si>
    <t>Measurement Framework — Systematic containerised energy evaluation methodology; fair comparison protocol; benchmarks AlexNet vs MobileNet across input configs</t>
  </si>
  <si>
    <t>During / Post (Inference)</t>
  </si>
  <si>
    <t>CNN (AlexNet, MobileNet); GPU devices</t>
  </si>
  <si>
    <t>Predictive Modelling (GNN-based) — SDEnergy uses Graph Neural Network encoder on NN structure + device encoder to predict energy without hardware deployment</t>
  </si>
  <si>
    <t>A priori (pre-deployment)</t>
  </si>
  <si>
    <t>General DNN (various layer types); multiple hardware devices</t>
  </si>
  <si>
    <t>Empirical Analysis / Literature Review — Longitudinal study of inference energy trends across CV and NLP model families; challenges parameter-count as proxy for energy</t>
  </si>
  <si>
    <t>CNN (CV), Transformers (NLP); GPU inference</t>
  </si>
  <si>
    <t>Survey / Literature Review — Reviews CNN inference energy-efficiency strategies: dataflow optimisation, precision scaling, sparsity, memory hierarchy</t>
  </si>
  <si>
    <t>CNN; FPGA, ASIC, custom accelerator hardware</t>
  </si>
  <si>
    <t>NAS with Energy Objective (DARTS-based) — Modifies NAS loss to include power consumption; collects operator-level power data on FPGA/DSA; searches for low-power architectures</t>
  </si>
  <si>
    <t>General DNN (CNN, operator-level); FPGA and Domain-Specific Architectures</t>
  </si>
  <si>
    <t>Predictive Modelling (LSTM-based) — LGLP model predicts inference latency from architecture encoding to enable resource-aware NAS without costly hardware measurement</t>
  </si>
  <si>
    <t>A priori (pre-NAS evaluation)</t>
  </si>
  <si>
    <t>General DNN (CNN, various); GPU (NVIDIA TensorRT)</t>
  </si>
  <si>
    <t>Empirical Benchmarking — Measures latency and energy of popular CNN models (ResNet, MobileNet, VGG, EfficientNet) on IoT edge devices; analyses how architecture depth/width affects energy</t>
  </si>
  <si>
    <t>CNN (ResNet, MobileNet, VGG, EfficientNet); IoT edge devices (Raspberry Pi, Jetson)</t>
  </si>
  <si>
    <t>Empirical Analysis — Studies effect of pruning ratio and strategy on NN inference energy in IoT; maps pruning configuration to measured energy reduction</t>
  </si>
  <si>
    <t>General DNN (CNN, FC); IoT/embedded devices</t>
  </si>
  <si>
    <t>NAS with Energy Objective (Genetic Algorithm / NSGA-II) — ML-based energy predictor estimates candidate CNN energy without training; NSGA-II optimises accuracy vs energy trade-off</t>
  </si>
  <si>
    <t>CNN; GPU training and inference</t>
  </si>
  <si>
    <t>Empirical Measurement + Estimation — Measures and estimates CO2 from training large NNs (Transformer, T5, GPT-3); hardware/cloud provider comparisons; proposes reporting standards</t>
  </si>
  <si>
    <t>Transformer, T5, GPT-3, BERT; GPU/TPU cloud clusters</t>
  </si>
  <si>
    <t>Measurement Tool — Profiles actual hardware power during training; converts to carbon using real-time energy mix; predicts total training carbon from partial run data</t>
  </si>
  <si>
    <t>General DNN (any framework); GPU hardware; PyTorch/TensorFlow</t>
  </si>
  <si>
    <t>Empirical Measurement — Measures energy and CO2 of training large NLP models (Transformer, BERT, NAS); foundational Green AI paper calling for efficiency reporting</t>
  </si>
  <si>
    <t>Transformer, BERT, NAS models; GPU (NVIDIA hardware)</t>
  </si>
  <si>
    <t>Empirical Measurement + Lifecycle Analysis — End-to-end carbon estimation for BLOOM training including hardware manufacturing, training energy, and operational emissions; real power measurements</t>
  </si>
  <si>
    <t>BLOOM (176B parameter LLM / Transformer); GPU cluster (Jean Zay HPC)</t>
  </si>
  <si>
    <t>Survey + Taxonomy — Reviews ML energy estimation approaches (hardware counters, analytical models); proposes taxonomy of estimation methods; early comprehensive survey</t>
  </si>
  <si>
    <t>A priori / During / Post</t>
  </si>
  <si>
    <t>General ML (SVM, RF, DNN, CNN); CPU and GPU hardware</t>
  </si>
  <si>
    <t>Position Paper / Empirical Analysis — Defines Red vs Green AI; proposes FLOPs as efficiency metric; analyses exponential compute growth vs marginal accuracy gains</t>
  </si>
  <si>
    <t>General DNN / NLP models; GPU training</t>
  </si>
  <si>
    <t>Estimation Framework + Tool — Online calculator for computational carbon footprint; accounts for hardware type, runtime, memory, location, and grid carbon intensity</t>
  </si>
  <si>
    <t>During / Post</t>
  </si>
  <si>
    <t>General computation (any ML workload); any hardware platform</t>
  </si>
  <si>
    <t>Systematic Review — Compares hardware measurement tools, software monitoring libraries (CodeCarbon, Carbontracker), and analytical estimation approaches for DNN training carbon</t>
  </si>
  <si>
    <t>General DNN; GPU hardware; multiple monitoring frameworks</t>
  </si>
  <si>
    <t>Predictive Modelling (Polynomial Regression) — Predicts layer-wise CNN power and runtime from architectural features (filter size, input dims, stride, # filters) using polynomial regression; enables energy-aware NAS</t>
  </si>
  <si>
    <t>A priori (pre-deployment / NAS)</t>
  </si>
  <si>
    <t>CNN (AlexNet, VGG, GoogLeNet etc.); GPU (NVIDIA) and CPU</t>
  </si>
  <si>
    <t>Empirical Analysis — Studies hyperparameter choices (batch size, depth, width) effect on energy consumption across ML training runs; proposes energy-performance optimisation strategies</t>
  </si>
  <si>
    <t>General DNN (FC, CNN); GPU training environments</t>
  </si>
  <si>
    <t>Systematic Literature Review + Experiments — Reviews and classifies ML energy evaluation approaches; experiments comparing tools; highlights reproducibility and standardisation gaps</t>
  </si>
  <si>
    <t>General ML and DNN (any architecture); CPU and GPU hardware</t>
  </si>
  <si>
    <t>Manually Added (Duplicate of #16)</t>
  </si>
  <si>
    <t>Validation Study — Empirically validates CodeCarbon against external power measurements; quantifies accuracy and systematic underestimation; identifies reliable conditions for software-based tracking</t>
  </si>
  <si>
    <t>General DNN; GPU hardware; CodeCarbon tool validation</t>
  </si>
  <si>
    <t>Empirical Benchmarking — Measures per-query inference energy of deployed ML models across task types; analyses how model architecture, size, and task type affect energy cost</t>
  </si>
  <si>
    <t>Transformer, CNN, general DNN (text generation, classification etc.); GPU cloud inference</t>
  </si>
  <si>
    <t>Empirical Characterisation + Online Optimisation — Characterises batch size and GPU power limit effect on DNN training energy; Multi-Armed Bandit (Thompson Sampling) to auto-find optimal config; 15.3–75.8% energy reduction</t>
  </si>
  <si>
    <t>DNN (DeepSpeech2, BERT, ResNet-50, ShuffleNet, NeuMF); NVIDIA GPU (V100, A40, RTX6000, P100)</t>
  </si>
  <si>
    <t>ACCESS</t>
  </si>
  <si>
    <t>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</si>
</sst>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2"/>
      <color rgb="FFFFFFFF"/>
      <name val="Arial"/>
    </font>
    <font>
      <i/>
      <sz val="9"/>
      <color rgb="FF444444"/>
      <name val="Arial"/>
    </font>
    <font>
      <b/>
      <sz val="10"/>
      <color rgb="FFFFFFFF"/>
      <name val="Arial"/>
    </font>
    <font>
      <b/>
      <sz val="10"/>
      <color rgb="FF000000"/>
      <name val="Arial"/>
    </font>
    <font>
      <sz val="10"/>
      <color rgb="FF000000"/>
      <name val="Arial"/>
    </font>
    <font>
      <b/>
      <sz val="10"/>
      <color rgb="FF1E8449"/>
      <name val="Arial"/>
    </font>
    <font>
      <b/>
      <sz val="10"/>
      <color rgb="FFB7950B"/>
      <name val="Arial"/>
    </font>
    <font>
      <b/>
      <sz val="10"/>
      <color rgb="FFC0392B"/>
      <name val="Arial"/>
    </font>
    <font>
      <b/>
      <sz val="14"/>
      <color rgb="FFFFFFFF"/>
      <name val="Arial"/>
    </font>
    <font>
      <i/>
      <sz val="10"/>
      <color rgb="FF000000"/>
      <name val="Arial"/>
    </font>
    <font>
      <sz val="10"/>
      <color rgb="FF2E75B6"/>
      <name val="Arial"/>
    </font>
    <font>
      <i/>
      <sz val="10"/>
      <color rgb="FFB7950B"/>
      <name val="Arial"/>
    </font>
    <font>
      <i/>
      <sz val="10"/>
      <color rgb="FFC0392B"/>
      <name val="Arial"/>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b/>
      <sz val="10"/>
      <color rgb="FFC0392B"/>
      <name val="Arial"/>
      <family val="2"/>
    </font>
    <font>
      <b/>
      <sz val="10"/>
      <color rgb="FF1E8449"/>
      <name val="Arial"/>
      <family val="2"/>
    </font>
    <font>
      <b/>
      <sz val="10"/>
      <color rgb="FFFFFFFF"/>
      <name val="Arial"/>
      <family val="2"/>
    </font>
    <font>
      <sz val="8"/>
      <name val="Calibri"/>
      <family val="2"/>
      <scheme val="minor"/>
    </font>
    <font>
      <sz val="11"/>
      <name val="Calibri"/>
      <family val="2"/>
      <scheme val="minor"/>
    </font>
    <font>
      <b/>
      <sz val="10"/>
      <color theme="0"/>
      <name val="Arial"/>
      <family val="2"/>
    </font>
    <font>
      <b/>
      <sz val="12"/>
      <color theme="0"/>
      <name val="Arial"/>
      <family val="2"/>
    </font>
    <font>
      <b/>
      <sz val="12"/>
      <color rgb="FFFFFFFF"/>
      <name val="Arial"/>
      <family val="2"/>
    </font>
    <font>
      <sz val="9"/>
      <color rgb="FF444444"/>
      <name val="Arial"/>
      <family val="2"/>
    </font>
    <font>
      <sz val="10"/>
      <color rgb="FF000000"/>
      <name val="Arial"/>
      <family val="2"/>
    </font>
    <font>
      <b/>
      <sz val="9"/>
      <color rgb="FF444444"/>
      <name val="Arial"/>
      <family val="2"/>
    </font>
    <font>
      <sz val="10"/>
      <name val="Arial"/>
    </font>
    <font>
      <sz val="10"/>
      <color theme="1"/>
      <name val="Calibri"/>
      <family val="2"/>
      <scheme val="minor"/>
    </font>
    <font>
      <b/>
      <sz val="14"/>
      <color rgb="FFFFFFFF"/>
      <name val="Arial"/>
      <family val="2"/>
    </font>
    <font>
      <b/>
      <sz val="10"/>
      <color rgb="FF2E75B6"/>
      <name val="Arial"/>
      <family val="2"/>
    </font>
    <font>
      <sz val="11"/>
      <name val="Calibri"/>
    </font>
    <font>
      <b/>
      <sz val="11"/>
      <color rgb="FF9C0006"/>
      <name val="Calibri"/>
    </font>
    <font>
      <b/>
      <sz val="11"/>
      <color rgb="FF006100"/>
      <name val="Calibri"/>
    </font>
    <font>
      <sz val="11"/>
      <color theme="9" tint="-0.249977111117893"/>
      <name val="Calibri"/>
      <family val="2"/>
    </font>
    <font>
      <b/>
      <sz val="11"/>
      <color theme="9" tint="-0.249977111117893"/>
      <name val="Calibri"/>
      <family val="2"/>
    </font>
    <font>
      <b/>
      <sz val="11"/>
      <color rgb="FF006100"/>
      <name val="Calibri"/>
      <family val="2"/>
    </font>
    <font>
      <b/>
      <sz val="11"/>
      <color rgb="FF9C0006"/>
      <name val="Calibri"/>
      <family val="2"/>
    </font>
    <font>
      <b/>
      <sz val="13"/>
      <color rgb="FFFFFFFF"/>
      <name val="Calibri"/>
      <family val="2"/>
    </font>
    <font>
      <b/>
      <sz val="11"/>
      <name val="Calibri"/>
      <family val="2"/>
    </font>
    <font>
      <b/>
      <sz val="11"/>
      <color rgb="FF9C6500"/>
      <name val="Calibri"/>
      <family val="2"/>
    </font>
    <font>
      <b/>
      <sz val="11"/>
      <color rgb="FFFF0000"/>
      <name val="Calibri"/>
      <family val="2"/>
      <scheme val="minor"/>
    </font>
    <font>
      <sz val="10"/>
      <color rgb="FFFF0000"/>
      <name val="Arial"/>
      <family val="2"/>
    </font>
  </fonts>
  <fills count="44">
    <fill>
      <patternFill patternType="none"/>
    </fill>
    <fill>
      <patternFill patternType="gray125"/>
    </fill>
    <fill>
      <patternFill patternType="solid">
        <fgColor rgb="FF1F3864"/>
      </patternFill>
    </fill>
    <fill>
      <patternFill patternType="solid">
        <fgColor rgb="FFDEEAF1"/>
      </patternFill>
    </fill>
    <fill>
      <patternFill patternType="solid">
        <fgColor rgb="FF2E75B6"/>
      </patternFill>
    </fill>
    <fill>
      <patternFill patternType="solid">
        <fgColor rgb="FFFFFFFF"/>
      </patternFill>
    </fill>
    <fill>
      <patternFill patternType="solid">
        <fgColor rgb="FFD5F5E3"/>
      </patternFill>
    </fill>
    <fill>
      <patternFill patternType="solid">
        <fgColor rgb="FFF2F2F2"/>
      </patternFill>
    </fill>
    <fill>
      <patternFill patternType="solid">
        <fgColor rgb="FFFEF9E7"/>
      </patternFill>
    </fill>
    <fill>
      <patternFill patternType="solid">
        <fgColor rgb="FFFDECEA"/>
      </patternFill>
    </fill>
    <fill>
      <patternFill patternType="solid">
        <fgColor rgb="FFE8F8F5"/>
      </patternFill>
    </fill>
    <fill>
      <patternFill patternType="solid">
        <fgColor rgb="FFEBF5FB"/>
      </patternFill>
    </fill>
    <fill>
      <patternFill patternType="solid">
        <fgColor rgb="FFE8F5E9"/>
      </patternFill>
    </fill>
    <fill>
      <patternFill patternType="solid">
        <fgColor rgb="FFF5EEF8"/>
      </patternFill>
    </fill>
    <fill>
      <patternFill patternType="solid">
        <fgColor rgb="FF6C3483"/>
      </patternFill>
    </fill>
    <fill>
      <patternFill patternType="solid">
        <fgColor rgb="FFFAFAFA"/>
      </patternFill>
    </fill>
    <fill>
      <patternFill patternType="solid">
        <fgColor rgb="FFEBF3FB"/>
      </patternFill>
    </fill>
    <fill>
      <patternFill patternType="solid">
        <fgColor rgb="FFEDF7ED"/>
      </patternFill>
    </fill>
    <fill>
      <patternFill patternType="solid">
        <fgColor rgb="FFF3E8FF"/>
      </patternFill>
    </fill>
    <fill>
      <patternFill patternType="solid">
        <fgColor rgb="FFE67E22"/>
      </patternFill>
    </fill>
    <fill>
      <patternFill patternType="solid">
        <fgColor rgb="FF27AE60"/>
      </patternFill>
    </fill>
    <fill>
      <patternFill patternType="solid">
        <fgColor rgb="FFE74C3C"/>
      </patternFill>
    </fill>
    <fill>
      <patternFill patternType="solid">
        <fgColor rgb="FF1A5276"/>
      </patternFill>
    </fill>
    <fill>
      <patternFill patternType="solid">
        <fgColor rgb="FF1E8449"/>
      </patternFill>
    </fill>
    <fill>
      <patternFill patternType="solid">
        <fgColor rgb="FFFDFEFE"/>
      </patternFill>
    </fill>
    <fill>
      <patternFill patternType="solid">
        <fgColor theme="3"/>
        <bgColor indexed="64"/>
      </patternFill>
    </fill>
    <fill>
      <patternFill patternType="solid">
        <fgColor theme="9" tint="-0.249977111117893"/>
        <bgColor indexed="64"/>
      </patternFill>
    </fill>
    <fill>
      <patternFill patternType="solid">
        <fgColor rgb="FFC0392B"/>
      </patternFill>
    </fill>
    <fill>
      <patternFill patternType="solid">
        <fgColor theme="9" tint="-0.499984740745262"/>
        <bgColor indexed="64"/>
      </patternFill>
    </fill>
    <fill>
      <patternFill patternType="solid">
        <fgColor rgb="FF00B050"/>
        <bgColor indexed="64"/>
      </patternFill>
    </fill>
    <fill>
      <patternFill patternType="solid">
        <fgColor theme="5" tint="-0.249977111117893"/>
        <bgColor indexed="64"/>
      </patternFill>
    </fill>
    <fill>
      <patternFill patternType="solid">
        <fgColor rgb="FF00602B"/>
        <bgColor indexed="64"/>
      </patternFill>
    </fill>
    <fill>
      <patternFill patternType="solid">
        <fgColor theme="3"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F3CD"/>
        <bgColor indexed="64"/>
      </patternFill>
    </fill>
    <fill>
      <patternFill patternType="solid">
        <fgColor theme="3" tint="-0.249977111117893"/>
        <bgColor indexed="64"/>
      </patternFill>
    </fill>
    <fill>
      <patternFill patternType="solid">
        <fgColor rgb="FF7030A0"/>
        <bgColor indexed="64"/>
      </patternFill>
    </fill>
    <fill>
      <patternFill patternType="solid">
        <fgColor rgb="FFD1B2E8"/>
        <bgColor indexed="64"/>
      </patternFill>
    </fill>
    <fill>
      <patternFill patternType="solid">
        <fgColor theme="5" tint="0.79998168889431442"/>
        <bgColor indexed="64"/>
      </patternFill>
    </fill>
    <fill>
      <patternFill patternType="solid">
        <fgColor rgb="FFFFFF00"/>
        <bgColor indexed="64"/>
      </patternFill>
    </fill>
    <fill>
      <patternFill patternType="solid">
        <fgColor rgb="FFA3FFCD"/>
        <bgColor indexed="64"/>
      </patternFill>
    </fill>
    <fill>
      <patternFill patternType="solid">
        <fgColor theme="9" tint="0.79998168889431442"/>
        <bgColor indexed="64"/>
      </patternFill>
    </fill>
  </fills>
  <borders count="7">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5">
    <xf numFmtId="0" fontId="0" fillId="0" borderId="0" xfId="0"/>
    <xf numFmtId="0" fontId="3" fillId="4"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4" fillId="16"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5" fillId="16" borderId="1" xfId="0" applyFont="1" applyFill="1" applyBorder="1" applyAlignment="1">
      <alignment horizontal="center" vertical="center" wrapText="1"/>
    </xf>
    <xf numFmtId="0" fontId="4" fillId="17" borderId="1"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17"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3" fillId="22"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24" borderId="1" xfId="0" applyFont="1" applyFill="1" applyBorder="1" applyAlignment="1">
      <alignment horizontal="left" vertical="center" wrapText="1"/>
    </xf>
    <xf numFmtId="0" fontId="5" fillId="2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7" fillId="7"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0" fillId="4" borderId="1" xfId="0" applyFont="1" applyFill="1" applyBorder="1" applyAlignment="1">
      <alignment horizontal="center" vertical="center"/>
    </xf>
    <xf numFmtId="0" fontId="22" fillId="0" borderId="0" xfId="0" applyFont="1"/>
    <xf numFmtId="0" fontId="23" fillId="19"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7" fillId="7" borderId="1" xfId="0" applyFont="1" applyFill="1" applyBorder="1" applyAlignment="1">
      <alignment horizontal="left" vertical="center" wrapText="1"/>
    </xf>
    <xf numFmtId="0" fontId="27" fillId="8" borderId="1" xfId="0" applyFont="1" applyFill="1" applyBorder="1" applyAlignment="1">
      <alignment horizontal="center" vertical="center" wrapText="1"/>
    </xf>
    <xf numFmtId="0" fontId="29" fillId="5" borderId="1" xfId="0" applyFont="1" applyFill="1" applyBorder="1" applyAlignment="1">
      <alignment horizontal="left" vertical="center" wrapText="1"/>
    </xf>
    <xf numFmtId="0" fontId="29" fillId="7"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0" fontId="6" fillId="6" borderId="1" xfId="0" applyFont="1" applyFill="1" applyBorder="1" applyAlignment="1">
      <alignment horizontal="center" vertical="center"/>
    </xf>
    <xf numFmtId="0" fontId="3" fillId="27" borderId="1" xfId="0" applyFont="1" applyFill="1" applyBorder="1" applyAlignment="1">
      <alignment horizontal="center" vertical="center"/>
    </xf>
    <xf numFmtId="0" fontId="20" fillId="23" borderId="1" xfId="0" applyFont="1" applyFill="1" applyBorder="1" applyAlignment="1">
      <alignment horizontal="center" vertical="center"/>
    </xf>
    <xf numFmtId="0" fontId="20" fillId="29" borderId="1" xfId="0" applyFont="1" applyFill="1" applyBorder="1" applyAlignment="1">
      <alignment horizontal="center" vertical="center"/>
    </xf>
    <xf numFmtId="0" fontId="17" fillId="7"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9" fillId="6" borderId="1" xfId="0" applyFont="1" applyFill="1" applyBorder="1" applyAlignment="1">
      <alignment horizontal="center" vertical="center"/>
    </xf>
    <xf numFmtId="0" fontId="20" fillId="21"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0" fontId="23" fillId="29"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27" fillId="13"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0" fontId="27" fillId="11" borderId="1" xfId="0" applyFont="1" applyFill="1" applyBorder="1" applyAlignment="1">
      <alignment horizontal="left" vertical="center" wrapText="1"/>
    </xf>
    <xf numFmtId="0" fontId="27" fillId="13" borderId="1" xfId="0" applyFont="1" applyFill="1" applyBorder="1" applyAlignment="1">
      <alignment horizontal="left" vertical="center" wrapText="1"/>
    </xf>
    <xf numFmtId="0" fontId="32" fillId="3"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20" fillId="22" borderId="1" xfId="0" applyFont="1" applyFill="1" applyBorder="1" applyAlignment="1">
      <alignment horizontal="center" vertical="center" wrapText="1"/>
    </xf>
    <xf numFmtId="0" fontId="0" fillId="0" borderId="0" xfId="0" applyAlignment="1">
      <alignment wrapText="1"/>
    </xf>
    <xf numFmtId="0" fontId="3" fillId="4" borderId="6"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3" fillId="0" borderId="6" xfId="0" applyFont="1" applyBorder="1" applyAlignment="1">
      <alignment wrapText="1"/>
    </xf>
    <xf numFmtId="0" fontId="0" fillId="0" borderId="6" xfId="0" applyBorder="1" applyAlignment="1">
      <alignment wrapText="1"/>
    </xf>
    <xf numFmtId="0" fontId="34" fillId="34" borderId="6" xfId="0" applyFont="1" applyFill="1" applyBorder="1" applyAlignment="1">
      <alignment horizontal="center" vertical="center" wrapText="1"/>
    </xf>
    <xf numFmtId="0" fontId="33" fillId="0" borderId="6" xfId="0" applyFont="1" applyBorder="1" applyAlignment="1">
      <alignment vertical="center" wrapText="1"/>
    </xf>
    <xf numFmtId="0" fontId="17" fillId="6" borderId="6" xfId="0" applyFont="1" applyFill="1" applyBorder="1" applyAlignment="1">
      <alignment horizontal="left" vertical="center" wrapText="1"/>
    </xf>
    <xf numFmtId="0" fontId="35" fillId="33" borderId="6" xfId="0" applyFont="1" applyFill="1" applyBorder="1" applyAlignment="1">
      <alignment horizontal="center" vertical="center" wrapText="1"/>
    </xf>
    <xf numFmtId="0" fontId="36" fillId="36" borderId="6" xfId="0" applyFont="1" applyFill="1" applyBorder="1" applyAlignment="1">
      <alignment wrapText="1"/>
    </xf>
    <xf numFmtId="0" fontId="37" fillId="36" borderId="6" xfId="0" applyFont="1" applyFill="1" applyBorder="1" applyAlignment="1">
      <alignment wrapText="1"/>
    </xf>
    <xf numFmtId="0" fontId="37" fillId="36" borderId="6" xfId="0" applyFont="1" applyFill="1" applyBorder="1" applyAlignment="1">
      <alignment horizontal="center" vertical="center" wrapText="1"/>
    </xf>
    <xf numFmtId="0" fontId="36" fillId="36" borderId="6" xfId="0" applyFont="1" applyFill="1" applyBorder="1" applyAlignment="1">
      <alignment vertical="center" wrapText="1"/>
    </xf>
    <xf numFmtId="0" fontId="14" fillId="37" borderId="0" xfId="0" applyFont="1" applyFill="1" applyAlignment="1">
      <alignment horizontal="center" vertical="center"/>
    </xf>
    <xf numFmtId="0" fontId="38" fillId="33" borderId="6" xfId="0" applyFont="1" applyFill="1" applyBorder="1" applyAlignment="1">
      <alignment horizontal="center" vertical="center" wrapText="1"/>
    </xf>
    <xf numFmtId="0" fontId="41" fillId="39" borderId="6" xfId="0" applyFont="1" applyFill="1" applyBorder="1" applyAlignment="1">
      <alignment horizontal="center" vertical="center" wrapText="1"/>
    </xf>
    <xf numFmtId="0" fontId="0" fillId="0" borderId="6" xfId="0" applyBorder="1" applyAlignment="1">
      <alignment vertical="top" wrapText="1"/>
    </xf>
    <xf numFmtId="0" fontId="38" fillId="33" borderId="6" xfId="0" applyFont="1" applyFill="1" applyBorder="1" applyAlignment="1">
      <alignment horizontal="center" vertical="center"/>
    </xf>
    <xf numFmtId="0" fontId="39" fillId="34" borderId="6" xfId="0" applyFont="1" applyFill="1" applyBorder="1" applyAlignment="1">
      <alignment horizontal="center" vertical="center"/>
    </xf>
    <xf numFmtId="0" fontId="15" fillId="39" borderId="6" xfId="0" applyFont="1" applyFill="1" applyBorder="1" applyAlignment="1">
      <alignment horizontal="center" vertical="center"/>
    </xf>
    <xf numFmtId="0" fontId="0" fillId="0" borderId="6" xfId="0" applyBorder="1"/>
    <xf numFmtId="0" fontId="27" fillId="5" borderId="1" xfId="0" applyFont="1" applyFill="1" applyBorder="1" applyAlignment="1">
      <alignment horizontal="left" vertical="center" wrapText="1"/>
    </xf>
    <xf numFmtId="0" fontId="27" fillId="7"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0" fillId="23" borderId="1" xfId="0" applyFont="1" applyFill="1" applyBorder="1" applyAlignment="1">
      <alignment horizontal="center" vertical="center" wrapText="1"/>
    </xf>
    <xf numFmtId="0" fontId="42" fillId="35" borderId="1" xfId="0" applyFont="1" applyFill="1" applyBorder="1" applyAlignment="1">
      <alignment horizontal="center" vertical="center"/>
    </xf>
    <xf numFmtId="0" fontId="38" fillId="33" borderId="1" xfId="0" applyFont="1" applyFill="1" applyBorder="1" applyAlignment="1">
      <alignment horizontal="center" vertical="center"/>
    </xf>
    <xf numFmtId="0" fontId="38" fillId="33" borderId="0" xfId="0" applyFont="1" applyFill="1" applyAlignment="1">
      <alignment horizontal="center" vertical="center"/>
    </xf>
    <xf numFmtId="0" fontId="42" fillId="35" borderId="0" xfId="0" applyFont="1" applyFill="1" applyAlignment="1">
      <alignment horizontal="center" vertical="center"/>
    </xf>
    <xf numFmtId="0" fontId="43" fillId="40" borderId="0" xfId="0" applyFont="1" applyFill="1"/>
    <xf numFmtId="0" fontId="27" fillId="41" borderId="1" xfId="0" applyFont="1" applyFill="1" applyBorder="1" applyAlignment="1">
      <alignment horizontal="left" vertical="center" wrapText="1"/>
    </xf>
    <xf numFmtId="0" fontId="27" fillId="41" borderId="1" xfId="0" applyFont="1" applyFill="1" applyBorder="1" applyAlignment="1">
      <alignment horizontal="center" vertical="center" wrapText="1"/>
    </xf>
    <xf numFmtId="0" fontId="38" fillId="41" borderId="0" xfId="0" applyFont="1" applyFill="1" applyAlignment="1">
      <alignment horizontal="center" vertical="center"/>
    </xf>
    <xf numFmtId="0" fontId="31" fillId="23" borderId="1" xfId="0" applyFont="1" applyFill="1" applyBorder="1" applyAlignment="1">
      <alignment horizontal="center" vertical="center"/>
    </xf>
    <xf numFmtId="0" fontId="0" fillId="0" borderId="4" xfId="0" applyBorder="1"/>
    <xf numFmtId="0" fontId="0" fillId="0" borderId="5" xfId="0" applyBorder="1"/>
    <xf numFmtId="0" fontId="1" fillId="2" borderId="1" xfId="0" applyFont="1" applyFill="1" applyBorder="1" applyAlignment="1">
      <alignment horizontal="center" vertical="center"/>
    </xf>
    <xf numFmtId="0" fontId="0" fillId="0" borderId="0" xfId="0"/>
    <xf numFmtId="0" fontId="3" fillId="4" borderId="1" xfId="0" applyFont="1" applyFill="1" applyBorder="1" applyAlignment="1">
      <alignment horizontal="left" vertical="center"/>
    </xf>
    <xf numFmtId="0" fontId="9"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14" borderId="1" xfId="0" applyFont="1" applyFill="1" applyBorder="1" applyAlignment="1">
      <alignment horizontal="left" vertical="center"/>
    </xf>
    <xf numFmtId="0" fontId="14" fillId="25" borderId="2" xfId="0" applyFont="1" applyFill="1" applyBorder="1" applyAlignment="1">
      <alignment horizontal="center"/>
    </xf>
    <xf numFmtId="0" fontId="14" fillId="32" borderId="0" xfId="0" applyFont="1" applyFill="1" applyAlignment="1">
      <alignment horizontal="center" vertical="center"/>
    </xf>
    <xf numFmtId="0" fontId="14" fillId="32" borderId="3" xfId="0" applyFont="1" applyFill="1" applyBorder="1" applyAlignment="1">
      <alignment horizontal="center" vertical="center"/>
    </xf>
    <xf numFmtId="0" fontId="25" fillId="4" borderId="1" xfId="0" applyFont="1" applyFill="1" applyBorder="1" applyAlignment="1">
      <alignment horizontal="center" vertical="center"/>
    </xf>
    <xf numFmtId="0" fontId="28" fillId="3" borderId="1" xfId="0" applyFont="1" applyFill="1" applyBorder="1" applyAlignment="1">
      <alignment horizontal="left" vertical="center"/>
    </xf>
    <xf numFmtId="0" fontId="15" fillId="0" borderId="0" xfId="0" applyFont="1"/>
    <xf numFmtId="0" fontId="26" fillId="3" borderId="1" xfId="0" applyFont="1" applyFill="1" applyBorder="1" applyAlignment="1">
      <alignment horizontal="left" vertical="center"/>
    </xf>
    <xf numFmtId="0" fontId="25" fillId="20" borderId="1" xfId="0" applyFont="1" applyFill="1" applyBorder="1" applyAlignment="1">
      <alignment horizontal="center" vertical="center"/>
    </xf>
    <xf numFmtId="0" fontId="23" fillId="29" borderId="4" xfId="0" applyFont="1" applyFill="1" applyBorder="1" applyAlignment="1">
      <alignment horizontal="center" vertical="center" wrapText="1"/>
    </xf>
    <xf numFmtId="0" fontId="14" fillId="31" borderId="0" xfId="0" applyFont="1" applyFill="1" applyAlignment="1">
      <alignment horizontal="center" vertical="center"/>
    </xf>
    <xf numFmtId="0" fontId="14" fillId="31" borderId="3" xfId="0" applyFont="1" applyFill="1" applyBorder="1" applyAlignment="1">
      <alignment horizontal="center" vertical="center"/>
    </xf>
    <xf numFmtId="0" fontId="24" fillId="19" borderId="1" xfId="0" applyFont="1" applyFill="1" applyBorder="1" applyAlignment="1">
      <alignment horizontal="center" vertical="center"/>
    </xf>
    <xf numFmtId="0" fontId="16" fillId="0" borderId="0" xfId="0" applyFont="1"/>
    <xf numFmtId="0" fontId="23" fillId="26" borderId="4" xfId="0" applyFont="1" applyFill="1" applyBorder="1" applyAlignment="1">
      <alignment horizontal="center" vertical="center" wrapText="1"/>
    </xf>
    <xf numFmtId="0" fontId="14" fillId="28" borderId="0" xfId="0" applyFont="1" applyFill="1" applyAlignment="1">
      <alignment horizontal="center" vertical="center"/>
    </xf>
    <xf numFmtId="0" fontId="14" fillId="28" borderId="3" xfId="0" applyFont="1" applyFill="1" applyBorder="1" applyAlignment="1">
      <alignment horizontal="center" vertical="center"/>
    </xf>
    <xf numFmtId="0" fontId="25" fillId="14" borderId="1" xfId="0" applyFont="1" applyFill="1" applyBorder="1" applyAlignment="1">
      <alignment horizontal="center" vertical="center"/>
    </xf>
    <xf numFmtId="0" fontId="25" fillId="21" borderId="1" xfId="0" applyFont="1" applyFill="1" applyBorder="1" applyAlignment="1">
      <alignment horizontal="center" vertical="center"/>
    </xf>
    <xf numFmtId="0" fontId="20" fillId="21" borderId="1" xfId="0" applyFont="1" applyFill="1" applyBorder="1" applyAlignment="1">
      <alignment horizontal="center" vertical="center"/>
    </xf>
    <xf numFmtId="0" fontId="30" fillId="0" borderId="0" xfId="0" applyFont="1"/>
    <xf numFmtId="0" fontId="14" fillId="30" borderId="0" xfId="0" applyFont="1" applyFill="1" applyAlignment="1">
      <alignment horizontal="center" vertical="center"/>
    </xf>
    <xf numFmtId="0" fontId="14" fillId="30" borderId="3" xfId="0" applyFont="1" applyFill="1" applyBorder="1" applyAlignment="1">
      <alignment horizontal="center" vertical="center"/>
    </xf>
    <xf numFmtId="0" fontId="25" fillId="22" borderId="1" xfId="0" applyFont="1" applyFill="1" applyBorder="1" applyAlignment="1">
      <alignment horizontal="center" vertical="center"/>
    </xf>
    <xf numFmtId="0" fontId="9" fillId="2" borderId="6" xfId="0" applyFont="1" applyFill="1" applyBorder="1" applyAlignment="1">
      <alignment horizontal="center" vertical="center"/>
    </xf>
    <xf numFmtId="0" fontId="40" fillId="38" borderId="6" xfId="0" applyFont="1" applyFill="1" applyBorder="1" applyAlignment="1">
      <alignment horizontal="center"/>
    </xf>
    <xf numFmtId="0" fontId="0" fillId="38" borderId="6" xfId="0" applyFill="1" applyBorder="1" applyAlignment="1">
      <alignment horizontal="center"/>
    </xf>
    <xf numFmtId="0" fontId="14" fillId="38" borderId="6" xfId="0" applyFont="1" applyFill="1" applyBorder="1" applyAlignment="1">
      <alignment horizontal="center" vertical="center"/>
    </xf>
    <xf numFmtId="0" fontId="0" fillId="38" borderId="6" xfId="0" applyFill="1" applyBorder="1" applyAlignment="1">
      <alignment horizontal="center" vertical="center"/>
    </xf>
    <xf numFmtId="0" fontId="9" fillId="14" borderId="1" xfId="0" applyFont="1" applyFill="1" applyBorder="1" applyAlignment="1">
      <alignment horizontal="center" vertical="center"/>
    </xf>
    <xf numFmtId="0" fontId="27" fillId="42" borderId="1" xfId="0" applyFont="1" applyFill="1" applyBorder="1" applyAlignment="1">
      <alignment horizontal="left" vertical="center" wrapText="1"/>
    </xf>
    <xf numFmtId="0" fontId="44" fillId="42" borderId="1" xfId="0" applyFont="1" applyFill="1" applyBorder="1" applyAlignment="1">
      <alignment horizontal="left" vertical="center" wrapText="1"/>
    </xf>
    <xf numFmtId="0" fontId="27" fillId="42" borderId="1" xfId="0" applyFont="1" applyFill="1" applyBorder="1" applyAlignment="1">
      <alignment horizontal="center" vertical="center" wrapText="1"/>
    </xf>
    <xf numFmtId="0" fontId="38" fillId="42" borderId="1" xfId="0" applyFont="1" applyFill="1" applyBorder="1" applyAlignment="1">
      <alignment horizontal="center" vertical="center"/>
    </xf>
    <xf numFmtId="0" fontId="43" fillId="42" borderId="0" xfId="0" applyFont="1" applyFill="1"/>
    <xf numFmtId="0" fontId="0" fillId="42" borderId="0" xfId="0" applyFill="1"/>
    <xf numFmtId="0" fontId="42" fillId="42" borderId="1" xfId="0" applyFont="1" applyFill="1" applyBorder="1" applyAlignment="1">
      <alignment horizontal="center" vertical="center"/>
    </xf>
    <xf numFmtId="0" fontId="27" fillId="39" borderId="1" xfId="0" applyFont="1" applyFill="1" applyBorder="1" applyAlignment="1">
      <alignment horizontal="left" vertical="center" wrapText="1"/>
    </xf>
    <xf numFmtId="0" fontId="44" fillId="39" borderId="1" xfId="0" applyFont="1" applyFill="1" applyBorder="1" applyAlignment="1">
      <alignment horizontal="left" vertical="center" wrapText="1"/>
    </xf>
    <xf numFmtId="0" fontId="27" fillId="39" borderId="1" xfId="0" applyFont="1" applyFill="1" applyBorder="1" applyAlignment="1">
      <alignment horizontal="center" vertical="center" wrapText="1"/>
    </xf>
    <xf numFmtId="0" fontId="38" fillId="39" borderId="1" xfId="0" applyFont="1" applyFill="1" applyBorder="1" applyAlignment="1">
      <alignment horizontal="center" vertical="center"/>
    </xf>
    <xf numFmtId="0" fontId="43" fillId="39" borderId="0" xfId="0" applyFont="1" applyFill="1"/>
    <xf numFmtId="0" fontId="0" fillId="39" borderId="0" xfId="0" applyFill="1"/>
    <xf numFmtId="0" fontId="27" fillId="43" borderId="1" xfId="0" applyFont="1" applyFill="1" applyBorder="1" applyAlignment="1">
      <alignment horizontal="left" vertical="center" wrapText="1"/>
    </xf>
    <xf numFmtId="0" fontId="44" fillId="43" borderId="1" xfId="0" applyFont="1" applyFill="1" applyBorder="1" applyAlignment="1">
      <alignment horizontal="left" vertical="center" wrapText="1"/>
    </xf>
    <xf numFmtId="0" fontId="27" fillId="43" borderId="1" xfId="0" applyFont="1" applyFill="1" applyBorder="1" applyAlignment="1">
      <alignment horizontal="center" vertical="center" wrapText="1"/>
    </xf>
    <xf numFmtId="0" fontId="38" fillId="43" borderId="1" xfId="0" applyFont="1" applyFill="1" applyBorder="1" applyAlignment="1">
      <alignment horizontal="center" vertical="center"/>
    </xf>
    <xf numFmtId="0" fontId="43" fillId="43" borderId="0" xfId="0" applyFont="1" applyFill="1"/>
    <xf numFmtId="0" fontId="0" fillId="43" borderId="0" xfId="0" applyFill="1"/>
    <xf numFmtId="0" fontId="42" fillId="4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colors>
    <mruColors>
      <color rgb="FFD1B2E8"/>
      <color rgb="FFA3FFCD"/>
      <color rgb="FFE796F4"/>
      <color rgb="FFFFF3CD"/>
      <color rgb="FF0060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topLeftCell="A5" workbookViewId="0">
      <selection activeCell="E18" sqref="E18"/>
    </sheetView>
  </sheetViews>
  <sheetFormatPr defaultRowHeight="14.4" x14ac:dyDescent="0.3"/>
  <cols>
    <col min="1" max="1" width="22" customWidth="1"/>
    <col min="2" max="2" width="58" customWidth="1"/>
    <col min="3" max="3" width="28" customWidth="1"/>
  </cols>
  <sheetData>
    <row r="1" spans="1:3" ht="30" customHeight="1" x14ac:dyDescent="0.3">
      <c r="A1" s="140" t="s">
        <v>0</v>
      </c>
      <c r="B1" s="141"/>
      <c r="C1" s="141"/>
    </row>
    <row r="2" spans="1:3" ht="19.95" customHeight="1" x14ac:dyDescent="0.3">
      <c r="A2" s="142" t="s">
        <v>1</v>
      </c>
      <c r="B2" s="141"/>
      <c r="C2" s="141"/>
    </row>
    <row r="3" spans="1:3" ht="22.05" customHeight="1" x14ac:dyDescent="0.3">
      <c r="A3" s="1" t="s">
        <v>2</v>
      </c>
      <c r="B3" s="1" t="s">
        <v>3</v>
      </c>
      <c r="C3" s="1" t="s">
        <v>4</v>
      </c>
    </row>
    <row r="4" spans="1:3" ht="37.200000000000003" customHeight="1" x14ac:dyDescent="0.3">
      <c r="A4" s="2" t="s">
        <v>5</v>
      </c>
      <c r="B4" s="3" t="s">
        <v>6</v>
      </c>
      <c r="C4" s="4" t="s">
        <v>7</v>
      </c>
    </row>
    <row r="5" spans="1:3" ht="34.799999999999997" customHeight="1" x14ac:dyDescent="0.3">
      <c r="A5" s="5" t="s">
        <v>8</v>
      </c>
      <c r="B5" s="6" t="s">
        <v>9</v>
      </c>
      <c r="C5" s="7" t="s">
        <v>10</v>
      </c>
    </row>
    <row r="6" spans="1:3" ht="30" customHeight="1" x14ac:dyDescent="0.3">
      <c r="A6" s="2" t="s">
        <v>11</v>
      </c>
      <c r="B6" s="3" t="s">
        <v>12</v>
      </c>
      <c r="C6" s="4" t="s">
        <v>7</v>
      </c>
    </row>
    <row r="7" spans="1:3" ht="36" customHeight="1" x14ac:dyDescent="0.3">
      <c r="A7" s="5" t="s">
        <v>13</v>
      </c>
      <c r="B7" s="6" t="s">
        <v>14</v>
      </c>
      <c r="C7" s="7" t="s">
        <v>10</v>
      </c>
    </row>
    <row r="8" spans="1:3" ht="36" customHeight="1" x14ac:dyDescent="0.3">
      <c r="A8" s="2" t="s">
        <v>15</v>
      </c>
      <c r="B8" s="3" t="s">
        <v>16</v>
      </c>
      <c r="C8" s="7" t="s">
        <v>17</v>
      </c>
    </row>
    <row r="9" spans="1:3" ht="35.4" customHeight="1" x14ac:dyDescent="0.3">
      <c r="A9" s="5" t="s">
        <v>18</v>
      </c>
      <c r="B9" s="6" t="s">
        <v>19</v>
      </c>
      <c r="C9" s="7" t="s">
        <v>20</v>
      </c>
    </row>
    <row r="10" spans="1:3" ht="22.05" customHeight="1" x14ac:dyDescent="0.3">
      <c r="A10" s="2" t="s">
        <v>21</v>
      </c>
      <c r="B10" s="3" t="s">
        <v>22</v>
      </c>
      <c r="C10" s="4" t="s">
        <v>7</v>
      </c>
    </row>
    <row r="11" spans="1:3" ht="22.05" customHeight="1" x14ac:dyDescent="0.3">
      <c r="A11" s="5" t="s">
        <v>23</v>
      </c>
      <c r="B11" s="6" t="s">
        <v>24</v>
      </c>
      <c r="C11" s="4" t="s">
        <v>7</v>
      </c>
    </row>
    <row r="12" spans="1:3" ht="22.05" customHeight="1" x14ac:dyDescent="0.3">
      <c r="A12" s="2" t="s">
        <v>25</v>
      </c>
      <c r="B12" s="3" t="s">
        <v>26</v>
      </c>
      <c r="C12" s="4" t="s">
        <v>7</v>
      </c>
    </row>
    <row r="13" spans="1:3" ht="22.05" customHeight="1" x14ac:dyDescent="0.3">
      <c r="A13" s="5" t="s">
        <v>28</v>
      </c>
      <c r="B13" s="6" t="s">
        <v>29</v>
      </c>
      <c r="C13" s="8" t="s">
        <v>27</v>
      </c>
    </row>
    <row r="14" spans="1:3" ht="22.05" customHeight="1" x14ac:dyDescent="0.3">
      <c r="A14" s="5" t="s">
        <v>31</v>
      </c>
      <c r="B14" s="6" t="s">
        <v>32</v>
      </c>
      <c r="C14" s="4" t="s">
        <v>7</v>
      </c>
    </row>
    <row r="15" spans="1:3" ht="22.05" customHeight="1" x14ac:dyDescent="0.3">
      <c r="A15" s="2" t="s">
        <v>33</v>
      </c>
      <c r="B15" s="3" t="s">
        <v>34</v>
      </c>
      <c r="C15" s="4" t="s">
        <v>7</v>
      </c>
    </row>
    <row r="16" spans="1:3" ht="28.8" customHeight="1" x14ac:dyDescent="0.3">
      <c r="A16" s="5" t="s">
        <v>35</v>
      </c>
      <c r="B16" s="6" t="s">
        <v>36</v>
      </c>
      <c r="C16" s="8" t="s">
        <v>37</v>
      </c>
    </row>
    <row r="17" spans="1:3" ht="32.4" customHeight="1" x14ac:dyDescent="0.3">
      <c r="A17" s="2" t="s">
        <v>38</v>
      </c>
      <c r="B17" s="3" t="s">
        <v>39</v>
      </c>
      <c r="C17" s="8" t="s">
        <v>40</v>
      </c>
    </row>
    <row r="18" spans="1:3" ht="28.8" customHeight="1" x14ac:dyDescent="0.3">
      <c r="A18" s="5" t="s">
        <v>41</v>
      </c>
      <c r="B18" s="6" t="s">
        <v>42</v>
      </c>
      <c r="C18" s="7" t="s">
        <v>10</v>
      </c>
    </row>
    <row r="19" spans="1:3" ht="27" customHeight="1" x14ac:dyDescent="0.3">
      <c r="A19" s="2" t="s">
        <v>43</v>
      </c>
      <c r="B19" s="3" t="s">
        <v>44</v>
      </c>
      <c r="C19" s="101" t="s">
        <v>653</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election activeCell="A2" sqref="A2:XFD2"/>
    </sheetView>
  </sheetViews>
  <sheetFormatPr defaultRowHeight="14.4" x14ac:dyDescent="0.3"/>
  <cols>
    <col min="1" max="1" width="18" customWidth="1"/>
    <col min="2" max="2" width="32" customWidth="1"/>
    <col min="3" max="3" width="62" customWidth="1"/>
    <col min="4" max="4" width="16" customWidth="1"/>
  </cols>
  <sheetData>
    <row r="1" spans="1:4" ht="30" customHeight="1" x14ac:dyDescent="0.3">
      <c r="A1" s="143" t="s">
        <v>45</v>
      </c>
      <c r="B1" s="141"/>
      <c r="C1" s="141"/>
      <c r="D1" s="141"/>
    </row>
    <row r="2" spans="1:4" ht="22.05" customHeight="1" x14ac:dyDescent="0.3">
      <c r="A2" s="1" t="s">
        <v>46</v>
      </c>
      <c r="B2" s="1" t="s">
        <v>47</v>
      </c>
      <c r="C2" s="1" t="s">
        <v>48</v>
      </c>
      <c r="D2" s="1" t="s">
        <v>49</v>
      </c>
    </row>
    <row r="3" spans="1:4" ht="36" customHeight="1" x14ac:dyDescent="0.3">
      <c r="A3" s="5" t="s">
        <v>50</v>
      </c>
      <c r="B3" s="9" t="s">
        <v>51</v>
      </c>
      <c r="C3" s="6" t="s">
        <v>52</v>
      </c>
      <c r="D3" s="10" t="s">
        <v>53</v>
      </c>
    </row>
    <row r="4" spans="1:4" ht="36" customHeight="1" x14ac:dyDescent="0.3">
      <c r="A4" s="2" t="s">
        <v>54</v>
      </c>
      <c r="B4" s="11" t="s">
        <v>55</v>
      </c>
      <c r="C4" s="3" t="s">
        <v>56</v>
      </c>
      <c r="D4" s="12" t="s">
        <v>53</v>
      </c>
    </row>
    <row r="5" spans="1:4" ht="36" customHeight="1" x14ac:dyDescent="0.3">
      <c r="A5" s="5" t="s">
        <v>57</v>
      </c>
      <c r="B5" s="9" t="s">
        <v>58</v>
      </c>
      <c r="C5" s="6" t="s">
        <v>59</v>
      </c>
      <c r="D5" s="10" t="s">
        <v>60</v>
      </c>
    </row>
    <row r="6" spans="1:4" ht="36" customHeight="1" x14ac:dyDescent="0.3">
      <c r="A6" s="2" t="s">
        <v>61</v>
      </c>
      <c r="B6" s="11" t="s">
        <v>62</v>
      </c>
      <c r="C6" s="3" t="s">
        <v>63</v>
      </c>
      <c r="D6" s="12" t="s">
        <v>64</v>
      </c>
    </row>
    <row r="7" spans="1:4" ht="36" customHeight="1" x14ac:dyDescent="0.3">
      <c r="A7" s="5" t="s">
        <v>65</v>
      </c>
      <c r="B7" s="9" t="s">
        <v>66</v>
      </c>
      <c r="C7" s="6" t="s">
        <v>67</v>
      </c>
      <c r="D7" s="10" t="s">
        <v>64</v>
      </c>
    </row>
    <row r="8" spans="1:4" ht="36" customHeight="1" x14ac:dyDescent="0.3">
      <c r="A8" s="2" t="s">
        <v>68</v>
      </c>
      <c r="B8" s="11" t="s">
        <v>69</v>
      </c>
      <c r="C8" s="3" t="s">
        <v>70</v>
      </c>
      <c r="D8" s="12" t="s">
        <v>71</v>
      </c>
    </row>
    <row r="9" spans="1:4" ht="36" customHeight="1" x14ac:dyDescent="0.3">
      <c r="A9" s="5" t="s">
        <v>72</v>
      </c>
      <c r="B9" s="9" t="s">
        <v>73</v>
      </c>
      <c r="C9" s="6" t="s">
        <v>74</v>
      </c>
      <c r="D9" s="10" t="s">
        <v>71</v>
      </c>
    </row>
    <row r="10" spans="1:4" ht="36" customHeight="1" x14ac:dyDescent="0.3">
      <c r="A10" s="2" t="s">
        <v>75</v>
      </c>
      <c r="B10" s="11" t="s">
        <v>76</v>
      </c>
      <c r="C10" s="3" t="s">
        <v>77</v>
      </c>
      <c r="D10" s="12" t="s">
        <v>71</v>
      </c>
    </row>
    <row r="11" spans="1:4" ht="36" customHeight="1" x14ac:dyDescent="0.3">
      <c r="A11" s="5" t="s">
        <v>78</v>
      </c>
      <c r="B11" s="9" t="s">
        <v>79</v>
      </c>
      <c r="C11" s="6" t="s">
        <v>80</v>
      </c>
      <c r="D11" s="10" t="s">
        <v>71</v>
      </c>
    </row>
    <row r="12" spans="1:4" ht="36" customHeight="1" x14ac:dyDescent="0.3">
      <c r="A12" s="2" t="s">
        <v>81</v>
      </c>
      <c r="B12" s="11" t="s">
        <v>82</v>
      </c>
      <c r="C12" s="3" t="s">
        <v>83</v>
      </c>
      <c r="D12" s="12" t="s">
        <v>64</v>
      </c>
    </row>
    <row r="13" spans="1:4" ht="36" customHeight="1" x14ac:dyDescent="0.3">
      <c r="A13" s="5" t="s">
        <v>84</v>
      </c>
      <c r="B13" s="9" t="s">
        <v>85</v>
      </c>
      <c r="C13" s="6" t="s">
        <v>86</v>
      </c>
      <c r="D13" s="10" t="s">
        <v>87</v>
      </c>
    </row>
    <row r="14" spans="1:4" ht="36" customHeight="1" x14ac:dyDescent="0.3">
      <c r="A14" s="2" t="s">
        <v>88</v>
      </c>
      <c r="B14" s="11" t="s">
        <v>89</v>
      </c>
      <c r="C14" s="3" t="s">
        <v>90</v>
      </c>
      <c r="D14" s="12" t="s">
        <v>87</v>
      </c>
    </row>
    <row r="15" spans="1:4" ht="36" customHeight="1" x14ac:dyDescent="0.3">
      <c r="A15" s="5" t="s">
        <v>91</v>
      </c>
      <c r="B15" s="9" t="s">
        <v>92</v>
      </c>
      <c r="C15" s="6" t="s">
        <v>93</v>
      </c>
      <c r="D15" s="10" t="s">
        <v>87</v>
      </c>
    </row>
    <row r="16" spans="1:4" ht="36" customHeight="1" x14ac:dyDescent="0.3">
      <c r="A16" s="2" t="s">
        <v>94</v>
      </c>
      <c r="B16" s="11" t="s">
        <v>95</v>
      </c>
      <c r="C16" s="3" t="s">
        <v>96</v>
      </c>
      <c r="D16" s="12" t="s">
        <v>87</v>
      </c>
    </row>
    <row r="17" spans="1:4" ht="36" customHeight="1" x14ac:dyDescent="0.3">
      <c r="A17" s="5" t="s">
        <v>97</v>
      </c>
      <c r="B17" s="9" t="s">
        <v>98</v>
      </c>
      <c r="C17" s="6" t="s">
        <v>99</v>
      </c>
      <c r="D17" s="10" t="s">
        <v>87</v>
      </c>
    </row>
    <row r="18" spans="1:4" ht="36" customHeight="1" x14ac:dyDescent="0.3">
      <c r="A18" s="2" t="s">
        <v>100</v>
      </c>
      <c r="B18" s="11" t="s">
        <v>101</v>
      </c>
      <c r="C18" s="3" t="s">
        <v>102</v>
      </c>
      <c r="D18" s="12" t="s">
        <v>87</v>
      </c>
    </row>
    <row r="19" spans="1:4" ht="36" customHeight="1" x14ac:dyDescent="0.3">
      <c r="A19" s="5" t="s">
        <v>103</v>
      </c>
      <c r="B19" s="9" t="s">
        <v>104</v>
      </c>
      <c r="C19" s="6" t="s">
        <v>105</v>
      </c>
      <c r="D19" s="10" t="s">
        <v>87</v>
      </c>
    </row>
    <row r="20" spans="1:4" ht="36" customHeight="1" x14ac:dyDescent="0.3">
      <c r="A20" s="2" t="s">
        <v>106</v>
      </c>
      <c r="B20" s="11" t="s">
        <v>107</v>
      </c>
      <c r="C20" s="3" t="s">
        <v>108</v>
      </c>
      <c r="D20" s="12" t="s">
        <v>87</v>
      </c>
    </row>
    <row r="21" spans="1:4" ht="36" customHeight="1" x14ac:dyDescent="0.3">
      <c r="A21" s="5" t="s">
        <v>109</v>
      </c>
      <c r="B21" s="9" t="s">
        <v>110</v>
      </c>
      <c r="C21" s="6" t="s">
        <v>111</v>
      </c>
      <c r="D21" s="10" t="s">
        <v>71</v>
      </c>
    </row>
    <row r="22" spans="1:4" ht="36" customHeight="1" x14ac:dyDescent="0.3">
      <c r="A22" s="2" t="s">
        <v>112</v>
      </c>
      <c r="B22" s="11" t="s">
        <v>113</v>
      </c>
      <c r="C22" s="3" t="s">
        <v>114</v>
      </c>
      <c r="D22" s="12" t="s">
        <v>71</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election activeCell="I5" sqref="I5"/>
    </sheetView>
  </sheetViews>
  <sheetFormatPr defaultRowHeight="14.4" x14ac:dyDescent="0.3"/>
  <cols>
    <col min="1" max="1" width="9" customWidth="1"/>
    <col min="2" max="2" width="22" customWidth="1"/>
    <col min="3" max="3" width="24" customWidth="1"/>
    <col min="4" max="4" width="22" customWidth="1"/>
    <col min="5" max="5" width="18" customWidth="1"/>
    <col min="6" max="6" width="16" customWidth="1"/>
    <col min="7" max="7" width="48" customWidth="1"/>
  </cols>
  <sheetData>
    <row r="1" spans="1:7" ht="30" customHeight="1" x14ac:dyDescent="0.3">
      <c r="A1" s="143" t="s">
        <v>115</v>
      </c>
      <c r="B1" s="141"/>
      <c r="C1" s="141"/>
      <c r="D1" s="141"/>
      <c r="E1" s="141"/>
      <c r="F1" s="141"/>
      <c r="G1" s="141"/>
    </row>
    <row r="2" spans="1:7" ht="18" customHeight="1" x14ac:dyDescent="0.3">
      <c r="A2" s="144" t="s">
        <v>116</v>
      </c>
      <c r="B2" s="141"/>
      <c r="C2" s="141"/>
      <c r="D2" s="141"/>
      <c r="E2" s="141"/>
      <c r="F2" s="141"/>
      <c r="G2" s="141"/>
    </row>
    <row r="3" spans="1:7" ht="30" customHeight="1" x14ac:dyDescent="0.3">
      <c r="A3" s="13" t="s">
        <v>117</v>
      </c>
      <c r="B3" s="13" t="s">
        <v>118</v>
      </c>
      <c r="C3" s="13" t="s">
        <v>119</v>
      </c>
      <c r="D3" s="13" t="s">
        <v>120</v>
      </c>
      <c r="E3" s="13" t="s">
        <v>121</v>
      </c>
      <c r="F3" s="13" t="s">
        <v>122</v>
      </c>
      <c r="G3" s="13" t="s">
        <v>123</v>
      </c>
    </row>
    <row r="4" spans="1:7" ht="40.049999999999997" customHeight="1" x14ac:dyDescent="0.3">
      <c r="A4" s="14">
        <v>1</v>
      </c>
      <c r="B4" s="15" t="s">
        <v>124</v>
      </c>
      <c r="C4" s="16" t="s">
        <v>125</v>
      </c>
      <c r="D4" s="17" t="s">
        <v>126</v>
      </c>
      <c r="E4" s="18" t="s">
        <v>127</v>
      </c>
      <c r="F4" s="94" t="s">
        <v>650</v>
      </c>
      <c r="G4" s="17"/>
    </row>
    <row r="5" spans="1:7" ht="40.049999999999997" customHeight="1" x14ac:dyDescent="0.3">
      <c r="A5" s="19">
        <v>2</v>
      </c>
      <c r="B5" s="20" t="s">
        <v>30</v>
      </c>
      <c r="C5" s="21" t="s">
        <v>128</v>
      </c>
      <c r="D5" s="22" t="s">
        <v>129</v>
      </c>
      <c r="E5" s="23" t="s">
        <v>130</v>
      </c>
      <c r="F5" s="95" t="s">
        <v>650</v>
      </c>
      <c r="G5" s="22"/>
    </row>
    <row r="6" spans="1:7" ht="40.049999999999997" customHeight="1" x14ac:dyDescent="0.3">
      <c r="A6" s="24">
        <v>3</v>
      </c>
      <c r="B6" s="25" t="s">
        <v>23</v>
      </c>
      <c r="C6" s="26" t="s">
        <v>131</v>
      </c>
      <c r="D6" s="27" t="s">
        <v>132</v>
      </c>
      <c r="E6" s="28" t="s">
        <v>127</v>
      </c>
      <c r="F6" s="96" t="s">
        <v>650</v>
      </c>
      <c r="G6" s="27"/>
    </row>
    <row r="7" spans="1:7" ht="40.049999999999997" customHeight="1" x14ac:dyDescent="0.3">
      <c r="A7" s="29">
        <v>4</v>
      </c>
      <c r="B7" s="30" t="s">
        <v>25</v>
      </c>
      <c r="C7" s="31" t="s">
        <v>133</v>
      </c>
      <c r="D7" s="32" t="s">
        <v>129</v>
      </c>
      <c r="E7" s="33" t="s">
        <v>130</v>
      </c>
      <c r="F7" s="80" t="s">
        <v>650</v>
      </c>
      <c r="G7" s="32"/>
    </row>
    <row r="8" spans="1:7" ht="40.049999999999997" customHeight="1" x14ac:dyDescent="0.3">
      <c r="A8" s="34">
        <v>5</v>
      </c>
      <c r="B8" s="35" t="s">
        <v>28</v>
      </c>
      <c r="C8" s="36" t="s">
        <v>134</v>
      </c>
      <c r="D8" s="37" t="s">
        <v>129</v>
      </c>
      <c r="E8" s="38" t="s">
        <v>130</v>
      </c>
      <c r="F8" s="97" t="s">
        <v>650</v>
      </c>
      <c r="G8" s="100" t="s">
        <v>652</v>
      </c>
    </row>
    <row r="9" spans="1:7" ht="40.049999999999997" customHeight="1" x14ac:dyDescent="0.3">
      <c r="A9" s="39">
        <v>6</v>
      </c>
      <c r="B9" s="40" t="s">
        <v>31</v>
      </c>
      <c r="C9" s="41" t="s">
        <v>135</v>
      </c>
      <c r="D9" s="42" t="s">
        <v>136</v>
      </c>
      <c r="E9" s="43" t="s">
        <v>127</v>
      </c>
      <c r="F9" s="98" t="s">
        <v>650</v>
      </c>
      <c r="G9" s="42"/>
    </row>
    <row r="10" spans="1:7" ht="40.049999999999997" customHeight="1" x14ac:dyDescent="0.3">
      <c r="A10" s="19">
        <v>7</v>
      </c>
      <c r="B10" s="20" t="s">
        <v>33</v>
      </c>
      <c r="C10" s="21" t="s">
        <v>137</v>
      </c>
      <c r="D10" s="22" t="s">
        <v>138</v>
      </c>
      <c r="E10" s="23" t="s">
        <v>127</v>
      </c>
      <c r="F10" s="95" t="s">
        <v>650</v>
      </c>
      <c r="G10" s="99" t="s">
        <v>651</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selection activeCell="I6" sqref="I6"/>
    </sheetView>
  </sheetViews>
  <sheetFormatPr defaultRowHeight="14.4" x14ac:dyDescent="0.3"/>
  <cols>
    <col min="1" max="1" width="5" customWidth="1"/>
    <col min="2" max="2" width="12" customWidth="1"/>
    <col min="3" max="3" width="20" customWidth="1"/>
    <col min="4" max="4" width="10" customWidth="1"/>
    <col min="5" max="5" width="52" customWidth="1"/>
    <col min="6" max="7" width="16" customWidth="1"/>
    <col min="8" max="8" width="40" customWidth="1"/>
  </cols>
  <sheetData>
    <row r="1" spans="1:8" ht="30" customHeight="1" x14ac:dyDescent="0.3">
      <c r="A1" s="143" t="s">
        <v>140</v>
      </c>
      <c r="B1" s="141"/>
      <c r="C1" s="141"/>
      <c r="D1" s="141"/>
      <c r="E1" s="141"/>
      <c r="F1" s="141"/>
      <c r="G1" s="141"/>
      <c r="H1" s="141"/>
    </row>
    <row r="2" spans="1:8" ht="30" customHeight="1" x14ac:dyDescent="0.3">
      <c r="A2" s="13" t="s">
        <v>141</v>
      </c>
      <c r="B2" s="13" t="s">
        <v>142</v>
      </c>
      <c r="C2" s="13" t="s">
        <v>143</v>
      </c>
      <c r="D2" s="13" t="s">
        <v>139</v>
      </c>
      <c r="E2" s="13" t="s">
        <v>144</v>
      </c>
      <c r="F2" s="13" t="s">
        <v>145</v>
      </c>
      <c r="G2" s="13" t="s">
        <v>146</v>
      </c>
      <c r="H2" s="13" t="s">
        <v>123</v>
      </c>
    </row>
    <row r="3" spans="1:8" ht="28.05" customHeight="1" x14ac:dyDescent="0.3">
      <c r="A3" s="33">
        <v>1</v>
      </c>
      <c r="B3" s="33" t="s">
        <v>147</v>
      </c>
      <c r="C3" s="30" t="s">
        <v>148</v>
      </c>
      <c r="D3" s="33" t="s">
        <v>149</v>
      </c>
      <c r="E3" s="32" t="s">
        <v>150</v>
      </c>
      <c r="F3" s="33" t="s">
        <v>151</v>
      </c>
      <c r="G3" s="29">
        <v>141</v>
      </c>
      <c r="H3" s="45" t="s">
        <v>152</v>
      </c>
    </row>
    <row r="4" spans="1:8" ht="28.05" customHeight="1" x14ac:dyDescent="0.3">
      <c r="A4" s="33">
        <v>2</v>
      </c>
      <c r="B4" s="33" t="s">
        <v>147</v>
      </c>
      <c r="C4" s="30" t="s">
        <v>148</v>
      </c>
      <c r="D4" s="33" t="s">
        <v>153</v>
      </c>
      <c r="E4" s="32" t="s">
        <v>154</v>
      </c>
      <c r="F4" s="33" t="s">
        <v>151</v>
      </c>
      <c r="G4" s="29">
        <v>489</v>
      </c>
      <c r="H4" s="45" t="s">
        <v>152</v>
      </c>
    </row>
    <row r="5" spans="1:8" ht="28.05" customHeight="1" x14ac:dyDescent="0.3">
      <c r="A5" s="33">
        <v>3</v>
      </c>
      <c r="B5" s="33" t="s">
        <v>147</v>
      </c>
      <c r="C5" s="30" t="s">
        <v>148</v>
      </c>
      <c r="D5" s="33" t="s">
        <v>155</v>
      </c>
      <c r="E5" s="32" t="s">
        <v>156</v>
      </c>
      <c r="F5" s="33" t="s">
        <v>151</v>
      </c>
      <c r="G5" s="29">
        <v>3</v>
      </c>
      <c r="H5" s="45" t="s">
        <v>152</v>
      </c>
    </row>
    <row r="6" spans="1:8" ht="28.05" customHeight="1" x14ac:dyDescent="0.3">
      <c r="A6" s="33">
        <v>4</v>
      </c>
      <c r="B6" s="33" t="s">
        <v>147</v>
      </c>
      <c r="C6" s="30" t="s">
        <v>148</v>
      </c>
      <c r="D6" s="33" t="s">
        <v>157</v>
      </c>
      <c r="E6" s="32" t="s">
        <v>158</v>
      </c>
      <c r="F6" s="33" t="s">
        <v>151</v>
      </c>
      <c r="G6" s="29">
        <v>0</v>
      </c>
      <c r="H6" s="45" t="s">
        <v>159</v>
      </c>
    </row>
    <row r="7" spans="1:8" ht="28.05" customHeight="1" x14ac:dyDescent="0.3">
      <c r="A7" s="33">
        <v>5</v>
      </c>
      <c r="B7" s="33" t="s">
        <v>147</v>
      </c>
      <c r="C7" s="30" t="s">
        <v>148</v>
      </c>
      <c r="D7" s="33" t="s">
        <v>160</v>
      </c>
      <c r="E7" s="32" t="s">
        <v>161</v>
      </c>
      <c r="F7" s="33" t="s">
        <v>151</v>
      </c>
      <c r="G7" s="29">
        <v>50</v>
      </c>
      <c r="H7" s="45" t="s">
        <v>152</v>
      </c>
    </row>
    <row r="8" spans="1:8" ht="28.05" customHeight="1" x14ac:dyDescent="0.3">
      <c r="A8" s="33">
        <v>6</v>
      </c>
      <c r="B8" s="33" t="s">
        <v>147</v>
      </c>
      <c r="C8" s="30" t="s">
        <v>23</v>
      </c>
      <c r="D8" s="33" t="s">
        <v>162</v>
      </c>
      <c r="E8" s="32" t="s">
        <v>163</v>
      </c>
      <c r="F8" s="33" t="s">
        <v>164</v>
      </c>
      <c r="G8" s="29">
        <v>96</v>
      </c>
      <c r="H8" s="45" t="s">
        <v>165</v>
      </c>
    </row>
    <row r="9" spans="1:8" ht="28.05" customHeight="1" x14ac:dyDescent="0.3">
      <c r="A9" s="33">
        <v>7</v>
      </c>
      <c r="B9" s="33" t="s">
        <v>147</v>
      </c>
      <c r="C9" s="30" t="s">
        <v>23</v>
      </c>
      <c r="D9" s="33" t="s">
        <v>166</v>
      </c>
      <c r="E9" s="32" t="s">
        <v>167</v>
      </c>
      <c r="F9" s="33" t="s">
        <v>164</v>
      </c>
      <c r="G9" s="29">
        <v>2</v>
      </c>
      <c r="H9" s="45" t="s">
        <v>168</v>
      </c>
    </row>
    <row r="10" spans="1:8" ht="28.05" customHeight="1" x14ac:dyDescent="0.3">
      <c r="A10" s="33">
        <v>8</v>
      </c>
      <c r="B10" s="33" t="s">
        <v>147</v>
      </c>
      <c r="C10" s="30" t="s">
        <v>23</v>
      </c>
      <c r="D10" s="33" t="s">
        <v>169</v>
      </c>
      <c r="E10" s="32" t="s">
        <v>170</v>
      </c>
      <c r="F10" s="33" t="s">
        <v>164</v>
      </c>
      <c r="G10" s="29">
        <v>23</v>
      </c>
      <c r="H10" s="45" t="s">
        <v>168</v>
      </c>
    </row>
    <row r="11" spans="1:8" ht="28.05" customHeight="1" x14ac:dyDescent="0.3">
      <c r="A11" s="33">
        <v>9</v>
      </c>
      <c r="B11" s="33" t="s">
        <v>147</v>
      </c>
      <c r="C11" s="30" t="s">
        <v>23</v>
      </c>
      <c r="D11" s="33" t="s">
        <v>171</v>
      </c>
      <c r="E11" s="32" t="s">
        <v>172</v>
      </c>
      <c r="F11" s="33" t="s">
        <v>164</v>
      </c>
      <c r="G11" s="29">
        <v>6</v>
      </c>
      <c r="H11" s="45" t="s">
        <v>168</v>
      </c>
    </row>
    <row r="12" spans="1:8" ht="28.05" customHeight="1" x14ac:dyDescent="0.3">
      <c r="A12" s="33">
        <v>10</v>
      </c>
      <c r="B12" s="33" t="s">
        <v>147</v>
      </c>
      <c r="C12" s="30" t="s">
        <v>124</v>
      </c>
      <c r="D12" s="33" t="s">
        <v>173</v>
      </c>
      <c r="E12" s="32" t="s">
        <v>163</v>
      </c>
      <c r="F12" s="33" t="s">
        <v>174</v>
      </c>
      <c r="G12" s="29">
        <v>4</v>
      </c>
      <c r="H12" s="45" t="s">
        <v>168</v>
      </c>
    </row>
    <row r="13" spans="1:8" ht="28.05" customHeight="1" x14ac:dyDescent="0.3">
      <c r="A13" s="33">
        <v>11</v>
      </c>
      <c r="B13" s="33" t="s">
        <v>147</v>
      </c>
      <c r="C13" s="30" t="s">
        <v>124</v>
      </c>
      <c r="D13" s="33" t="s">
        <v>175</v>
      </c>
      <c r="E13" s="32" t="s">
        <v>167</v>
      </c>
      <c r="F13" s="33" t="s">
        <v>174</v>
      </c>
      <c r="G13" s="29">
        <v>0</v>
      </c>
      <c r="H13" s="45" t="s">
        <v>176</v>
      </c>
    </row>
    <row r="14" spans="1:8" ht="28.05" customHeight="1" x14ac:dyDescent="0.3">
      <c r="A14" s="33">
        <v>12</v>
      </c>
      <c r="B14" s="33" t="s">
        <v>147</v>
      </c>
      <c r="C14" s="30" t="s">
        <v>124</v>
      </c>
      <c r="D14" s="33" t="s">
        <v>177</v>
      </c>
      <c r="E14" s="32" t="s">
        <v>170</v>
      </c>
      <c r="F14" s="33" t="s">
        <v>174</v>
      </c>
      <c r="G14" s="29">
        <v>2</v>
      </c>
      <c r="H14" s="45" t="s">
        <v>168</v>
      </c>
    </row>
    <row r="15" spans="1:8" ht="28.05" customHeight="1" x14ac:dyDescent="0.3">
      <c r="A15" s="33">
        <v>13</v>
      </c>
      <c r="B15" s="33" t="s">
        <v>147</v>
      </c>
      <c r="C15" s="30" t="s">
        <v>124</v>
      </c>
      <c r="D15" s="33" t="s">
        <v>178</v>
      </c>
      <c r="E15" s="32" t="s">
        <v>172</v>
      </c>
      <c r="F15" s="33" t="s">
        <v>174</v>
      </c>
      <c r="G15" s="29">
        <v>0</v>
      </c>
      <c r="H15" s="45" t="s">
        <v>176</v>
      </c>
    </row>
    <row r="16" spans="1:8" ht="25.95" customHeight="1" x14ac:dyDescent="0.3">
      <c r="A16" s="46">
        <v>14</v>
      </c>
      <c r="B16" s="47"/>
      <c r="C16" s="47"/>
      <c r="D16" s="47"/>
      <c r="E16" s="47"/>
      <c r="F16" s="47"/>
      <c r="G16" s="47"/>
      <c r="H16" s="47"/>
    </row>
    <row r="17" spans="1:8" ht="25.95" customHeight="1" x14ac:dyDescent="0.3">
      <c r="A17" s="46">
        <v>15</v>
      </c>
      <c r="B17" s="47"/>
      <c r="C17" s="47"/>
      <c r="D17" s="47"/>
      <c r="E17" s="47"/>
      <c r="F17" s="47"/>
      <c r="G17" s="47"/>
      <c r="H17" s="47"/>
    </row>
    <row r="18" spans="1:8" ht="25.95" customHeight="1" x14ac:dyDescent="0.3">
      <c r="A18" s="46">
        <v>16</v>
      </c>
      <c r="B18" s="47"/>
      <c r="C18" s="47"/>
      <c r="D18" s="47"/>
      <c r="E18" s="47"/>
      <c r="F18" s="47"/>
      <c r="G18" s="47"/>
      <c r="H18" s="47"/>
    </row>
    <row r="19" spans="1:8" ht="25.95" customHeight="1" x14ac:dyDescent="0.3">
      <c r="A19" s="46">
        <v>17</v>
      </c>
      <c r="B19" s="47"/>
      <c r="C19" s="47"/>
      <c r="D19" s="47"/>
      <c r="E19" s="47"/>
      <c r="F19" s="47"/>
      <c r="G19" s="47"/>
      <c r="H19" s="47"/>
    </row>
    <row r="20" spans="1:8" ht="25.95" customHeight="1" x14ac:dyDescent="0.3">
      <c r="A20" s="46">
        <v>18</v>
      </c>
      <c r="B20" s="47"/>
      <c r="C20" s="47"/>
      <c r="D20" s="47"/>
      <c r="E20" s="47"/>
      <c r="F20" s="47"/>
      <c r="G20" s="47"/>
      <c r="H20" s="47"/>
    </row>
    <row r="21" spans="1:8" ht="25.95" customHeight="1" x14ac:dyDescent="0.3">
      <c r="A21" s="46">
        <v>19</v>
      </c>
      <c r="B21" s="47"/>
      <c r="C21" s="47"/>
      <c r="D21" s="47"/>
      <c r="E21" s="47"/>
      <c r="F21" s="47"/>
      <c r="G21" s="47"/>
      <c r="H21" s="47"/>
    </row>
    <row r="22" spans="1:8" ht="25.95" customHeight="1" x14ac:dyDescent="0.3">
      <c r="A22" s="46">
        <v>20</v>
      </c>
      <c r="B22" s="47"/>
      <c r="C22" s="47"/>
      <c r="D22" s="47"/>
      <c r="E22" s="47"/>
      <c r="F22" s="47"/>
      <c r="G22" s="47"/>
      <c r="H22" s="47"/>
    </row>
    <row r="23" spans="1:8" ht="25.95" customHeight="1" x14ac:dyDescent="0.3">
      <c r="A23" s="46">
        <v>21</v>
      </c>
      <c r="B23" s="47"/>
      <c r="C23" s="47"/>
      <c r="D23" s="47"/>
      <c r="E23" s="47"/>
      <c r="F23" s="47"/>
      <c r="G23" s="47"/>
      <c r="H23" s="47"/>
    </row>
    <row r="24" spans="1:8" ht="25.95" customHeight="1" x14ac:dyDescent="0.3">
      <c r="A24" s="46">
        <v>22</v>
      </c>
      <c r="B24" s="47"/>
      <c r="C24" s="47"/>
      <c r="D24" s="47"/>
      <c r="E24" s="47"/>
      <c r="F24" s="47"/>
      <c r="G24" s="47"/>
      <c r="H24" s="47"/>
    </row>
    <row r="25" spans="1:8" ht="25.95" customHeight="1" x14ac:dyDescent="0.3">
      <c r="A25" s="46">
        <v>23</v>
      </c>
      <c r="B25" s="47"/>
      <c r="C25" s="47"/>
      <c r="D25" s="47"/>
      <c r="E25" s="47"/>
      <c r="F25" s="47"/>
      <c r="G25" s="47"/>
      <c r="H25" s="47"/>
    </row>
    <row r="26" spans="1:8" ht="25.95" customHeight="1" x14ac:dyDescent="0.3">
      <c r="A26" s="46">
        <v>24</v>
      </c>
      <c r="B26" s="47"/>
      <c r="C26" s="47"/>
      <c r="D26" s="47"/>
      <c r="E26" s="47"/>
      <c r="F26" s="47"/>
      <c r="G26" s="47"/>
      <c r="H26" s="47"/>
    </row>
    <row r="27" spans="1:8" ht="25.95" customHeight="1" x14ac:dyDescent="0.3">
      <c r="A27" s="46">
        <v>25</v>
      </c>
      <c r="B27" s="47"/>
      <c r="C27" s="47"/>
      <c r="D27" s="47"/>
      <c r="E27" s="47"/>
      <c r="F27" s="47"/>
      <c r="G27" s="47"/>
      <c r="H27" s="47"/>
    </row>
    <row r="28" spans="1:8" ht="25.95" customHeight="1" x14ac:dyDescent="0.3">
      <c r="A28" s="46">
        <v>26</v>
      </c>
      <c r="B28" s="47"/>
      <c r="C28" s="47"/>
      <c r="D28" s="47"/>
      <c r="E28" s="47"/>
      <c r="F28" s="47"/>
      <c r="G28" s="47"/>
      <c r="H28" s="47"/>
    </row>
    <row r="29" spans="1:8" ht="25.95" customHeight="1" x14ac:dyDescent="0.3">
      <c r="A29" s="46">
        <v>27</v>
      </c>
      <c r="B29" s="47"/>
      <c r="C29" s="47"/>
      <c r="D29" s="47"/>
      <c r="E29" s="47"/>
      <c r="F29" s="47"/>
      <c r="G29" s="47"/>
      <c r="H29" s="47"/>
    </row>
    <row r="30" spans="1:8" ht="25.95" customHeight="1" x14ac:dyDescent="0.3">
      <c r="A30" s="46">
        <v>28</v>
      </c>
      <c r="B30" s="47"/>
      <c r="C30" s="47"/>
      <c r="D30" s="47"/>
      <c r="E30" s="47"/>
      <c r="F30" s="47"/>
      <c r="G30" s="47"/>
      <c r="H30" s="47"/>
    </row>
    <row r="31" spans="1:8" ht="25.95" customHeight="1" x14ac:dyDescent="0.3">
      <c r="A31" s="46">
        <v>29</v>
      </c>
      <c r="B31" s="47"/>
      <c r="C31" s="47"/>
      <c r="D31" s="47"/>
      <c r="E31" s="47"/>
      <c r="F31" s="47"/>
      <c r="G31" s="47"/>
      <c r="H31" s="47"/>
    </row>
    <row r="32" spans="1:8" ht="25.95" customHeight="1" x14ac:dyDescent="0.3">
      <c r="A32" s="46">
        <v>30</v>
      </c>
      <c r="B32" s="47"/>
      <c r="C32" s="47"/>
      <c r="D32" s="47"/>
      <c r="E32" s="47"/>
      <c r="F32" s="47"/>
      <c r="G32" s="47"/>
      <c r="H32" s="47"/>
    </row>
    <row r="33" spans="1:8" ht="25.95" customHeight="1" x14ac:dyDescent="0.3">
      <c r="A33" s="46">
        <v>31</v>
      </c>
      <c r="B33" s="47"/>
      <c r="C33" s="47"/>
      <c r="D33" s="47"/>
      <c r="E33" s="47"/>
      <c r="F33" s="47"/>
      <c r="G33" s="47"/>
      <c r="H33" s="47"/>
    </row>
    <row r="34" spans="1:8" ht="25.95" customHeight="1" x14ac:dyDescent="0.3">
      <c r="A34" s="46">
        <v>32</v>
      </c>
      <c r="B34" s="47"/>
      <c r="C34" s="47"/>
      <c r="D34" s="47"/>
      <c r="E34" s="47"/>
      <c r="F34" s="47"/>
      <c r="G34" s="47"/>
      <c r="H34" s="47"/>
    </row>
    <row r="35" spans="1:8" ht="25.95" customHeight="1" x14ac:dyDescent="0.3">
      <c r="A35" s="46">
        <v>33</v>
      </c>
      <c r="B35" s="47"/>
      <c r="C35" s="47"/>
      <c r="D35" s="47"/>
      <c r="E35" s="47"/>
      <c r="F35" s="47"/>
      <c r="G35" s="47"/>
      <c r="H35" s="47"/>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1"/>
  <sheetViews>
    <sheetView zoomScale="70" zoomScaleNormal="70" workbookViewId="0">
      <selection sqref="A1:D1"/>
    </sheetView>
  </sheetViews>
  <sheetFormatPr defaultRowHeight="14.4" x14ac:dyDescent="0.3"/>
  <cols>
    <col min="1" max="1" width="32" customWidth="1"/>
    <col min="2" max="2" width="20" customWidth="1"/>
    <col min="3" max="3" width="40" customWidth="1"/>
    <col min="4" max="4" width="18" customWidth="1"/>
  </cols>
  <sheetData>
    <row r="1" spans="1:4" ht="30" customHeight="1" x14ac:dyDescent="0.3">
      <c r="A1" s="143" t="s">
        <v>179</v>
      </c>
      <c r="B1" s="141"/>
      <c r="C1" s="141"/>
      <c r="D1" s="141"/>
    </row>
    <row r="2" spans="1:4" ht="18" customHeight="1" x14ac:dyDescent="0.3">
      <c r="A2" s="144" t="s">
        <v>180</v>
      </c>
      <c r="B2" s="141"/>
      <c r="C2" s="141"/>
      <c r="D2" s="141"/>
    </row>
    <row r="3" spans="1:4" ht="19.95" customHeight="1" x14ac:dyDescent="0.3">
      <c r="A3" s="142" t="s">
        <v>181</v>
      </c>
      <c r="B3" s="141"/>
      <c r="C3" s="141"/>
      <c r="D3" s="141"/>
    </row>
    <row r="4" spans="1:4" ht="22.05" customHeight="1" x14ac:dyDescent="0.3">
      <c r="A4" s="1" t="s">
        <v>143</v>
      </c>
      <c r="B4" s="1" t="s">
        <v>182</v>
      </c>
      <c r="C4" s="1" t="s">
        <v>183</v>
      </c>
      <c r="D4" s="1" t="s">
        <v>123</v>
      </c>
    </row>
    <row r="5" spans="1:4" ht="24" customHeight="1" x14ac:dyDescent="0.3">
      <c r="A5" s="2" t="s">
        <v>124</v>
      </c>
      <c r="B5" s="12">
        <v>6</v>
      </c>
      <c r="C5" s="7" t="s">
        <v>184</v>
      </c>
      <c r="D5" s="3"/>
    </row>
    <row r="6" spans="1:4" ht="24" customHeight="1" x14ac:dyDescent="0.3">
      <c r="A6" s="5" t="s">
        <v>30</v>
      </c>
      <c r="B6" s="10" t="s">
        <v>185</v>
      </c>
      <c r="C6" s="7" t="s">
        <v>184</v>
      </c>
      <c r="D6" s="6"/>
    </row>
    <row r="7" spans="1:4" ht="24" customHeight="1" x14ac:dyDescent="0.3">
      <c r="A7" s="2" t="s">
        <v>23</v>
      </c>
      <c r="B7" s="12">
        <v>127</v>
      </c>
      <c r="C7" s="7" t="s">
        <v>184</v>
      </c>
      <c r="D7" s="3"/>
    </row>
    <row r="8" spans="1:4" ht="24" customHeight="1" x14ac:dyDescent="0.3">
      <c r="A8" s="5" t="s">
        <v>25</v>
      </c>
      <c r="B8" s="10" t="s">
        <v>185</v>
      </c>
      <c r="C8" s="7" t="s">
        <v>184</v>
      </c>
      <c r="D8" s="6"/>
    </row>
    <row r="9" spans="1:4" ht="24" customHeight="1" x14ac:dyDescent="0.3">
      <c r="A9" s="2" t="s">
        <v>28</v>
      </c>
      <c r="B9" s="12" t="s">
        <v>185</v>
      </c>
      <c r="C9" s="7" t="s">
        <v>184</v>
      </c>
      <c r="D9" s="3"/>
    </row>
    <row r="10" spans="1:4" ht="24" customHeight="1" x14ac:dyDescent="0.3">
      <c r="A10" s="5" t="s">
        <v>31</v>
      </c>
      <c r="B10" s="10" t="s">
        <v>185</v>
      </c>
      <c r="C10" s="7" t="s">
        <v>184</v>
      </c>
      <c r="D10" s="6"/>
    </row>
    <row r="11" spans="1:4" ht="24" customHeight="1" x14ac:dyDescent="0.3">
      <c r="A11" s="2" t="s">
        <v>33</v>
      </c>
      <c r="B11" s="12" t="s">
        <v>185</v>
      </c>
      <c r="C11" s="7" t="s">
        <v>184</v>
      </c>
      <c r="D11" s="3"/>
    </row>
    <row r="12" spans="1:4" ht="24" customHeight="1" x14ac:dyDescent="0.3">
      <c r="A12" s="48" t="s">
        <v>186</v>
      </c>
      <c r="B12" s="43" t="s">
        <v>187</v>
      </c>
      <c r="C12" s="4" t="s">
        <v>188</v>
      </c>
      <c r="D12" s="49" t="s">
        <v>189</v>
      </c>
    </row>
    <row r="14" spans="1:4" ht="19.95" customHeight="1" x14ac:dyDescent="0.3">
      <c r="A14" s="145" t="s">
        <v>190</v>
      </c>
      <c r="B14" s="141"/>
      <c r="C14" s="141"/>
      <c r="D14" s="141"/>
    </row>
    <row r="15" spans="1:4" ht="22.05" customHeight="1" x14ac:dyDescent="0.3">
      <c r="A15" s="50" t="s">
        <v>191</v>
      </c>
      <c r="B15" s="50" t="s">
        <v>192</v>
      </c>
      <c r="C15" s="50" t="s">
        <v>193</v>
      </c>
      <c r="D15" s="50" t="s">
        <v>194</v>
      </c>
    </row>
    <row r="16" spans="1:4" ht="24" customHeight="1" x14ac:dyDescent="0.3">
      <c r="A16" s="51" t="s">
        <v>195</v>
      </c>
      <c r="B16" s="7" t="s">
        <v>184</v>
      </c>
      <c r="C16" s="52" t="s">
        <v>196</v>
      </c>
      <c r="D16" s="53"/>
    </row>
    <row r="17" spans="1:4" ht="24" customHeight="1" x14ac:dyDescent="0.3">
      <c r="A17" s="54" t="s">
        <v>197</v>
      </c>
      <c r="B17" s="7" t="s">
        <v>184</v>
      </c>
      <c r="C17" s="55" t="s">
        <v>198</v>
      </c>
      <c r="D17" s="56"/>
    </row>
    <row r="18" spans="1:4" ht="24" customHeight="1" x14ac:dyDescent="0.3">
      <c r="A18" s="30" t="s">
        <v>199</v>
      </c>
      <c r="B18" s="7" t="s">
        <v>184</v>
      </c>
      <c r="C18" s="32" t="s">
        <v>200</v>
      </c>
      <c r="D18" s="33"/>
    </row>
    <row r="19" spans="1:4" ht="24" customHeight="1" x14ac:dyDescent="0.3">
      <c r="A19" s="40" t="s">
        <v>201</v>
      </c>
      <c r="B19" s="7" t="s">
        <v>184</v>
      </c>
      <c r="C19" s="42" t="s">
        <v>202</v>
      </c>
      <c r="D19" s="43"/>
    </row>
    <row r="20" spans="1:4" ht="24" customHeight="1" x14ac:dyDescent="0.3">
      <c r="A20" s="57" t="s">
        <v>203</v>
      </c>
      <c r="B20" s="7" t="s">
        <v>184</v>
      </c>
      <c r="C20" s="58" t="s">
        <v>204</v>
      </c>
      <c r="D20" s="59"/>
    </row>
    <row r="21" spans="1:4" ht="24" customHeight="1" x14ac:dyDescent="0.3">
      <c r="A21" s="15" t="s">
        <v>205</v>
      </c>
      <c r="B21" s="7" t="s">
        <v>206</v>
      </c>
      <c r="C21" s="17" t="s">
        <v>207</v>
      </c>
      <c r="D21" s="18"/>
    </row>
  </sheetData>
  <mergeCells count="4">
    <mergeCell ref="A1:D1"/>
    <mergeCell ref="A14:D14"/>
    <mergeCell ref="A3:D3"/>
    <mergeCell ref="A2:D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C108"/>
  <sheetViews>
    <sheetView zoomScale="70" zoomScaleNormal="70" workbookViewId="0">
      <selection activeCell="A12" sqref="A12:C12"/>
    </sheetView>
  </sheetViews>
  <sheetFormatPr defaultRowHeight="14.4" x14ac:dyDescent="0.3"/>
  <cols>
    <col min="1" max="1" width="5" customWidth="1"/>
    <col min="2" max="2" width="80.88671875" customWidth="1"/>
    <col min="3" max="3" width="32" customWidth="1"/>
  </cols>
  <sheetData>
    <row r="1" spans="1:3" ht="28.05" customHeight="1" x14ac:dyDescent="0.3">
      <c r="A1" s="149" t="s">
        <v>654</v>
      </c>
      <c r="B1" s="141"/>
      <c r="C1" s="141"/>
    </row>
    <row r="2" spans="1:3" ht="25.95" customHeight="1" x14ac:dyDescent="0.3">
      <c r="A2" s="150" t="s">
        <v>751</v>
      </c>
      <c r="B2" s="151"/>
      <c r="C2" s="151"/>
    </row>
    <row r="3" spans="1:3" ht="30" customHeight="1" x14ac:dyDescent="0.3">
      <c r="A3" s="13"/>
      <c r="B3" s="13" t="s">
        <v>174</v>
      </c>
      <c r="C3" s="78" t="s">
        <v>405</v>
      </c>
    </row>
    <row r="4" spans="1:3" ht="25.95" customHeight="1" x14ac:dyDescent="0.3">
      <c r="A4" s="70">
        <v>1</v>
      </c>
      <c r="B4" s="71" t="s">
        <v>659</v>
      </c>
      <c r="C4" s="73" t="s">
        <v>370</v>
      </c>
    </row>
    <row r="5" spans="1:3" ht="25.95" customHeight="1" x14ac:dyDescent="0.3">
      <c r="A5" s="70">
        <v>2</v>
      </c>
      <c r="B5" s="71" t="s">
        <v>660</v>
      </c>
      <c r="C5" s="73" t="s">
        <v>370</v>
      </c>
    </row>
    <row r="6" spans="1:3" ht="25.95" customHeight="1" x14ac:dyDescent="0.3">
      <c r="A6" s="146" t="s">
        <v>396</v>
      </c>
      <c r="B6" s="146"/>
      <c r="C6" s="75">
        <f>COUNTIF(C2:C5,"YES")</f>
        <v>0</v>
      </c>
    </row>
    <row r="7" spans="1:3" ht="25.95" customHeight="1" x14ac:dyDescent="0.3">
      <c r="A7" s="150" t="s">
        <v>750</v>
      </c>
      <c r="B7" s="151"/>
      <c r="C7" s="151"/>
    </row>
    <row r="8" spans="1:3" ht="27.6" customHeight="1" x14ac:dyDescent="0.3">
      <c r="A8" s="13"/>
      <c r="B8" s="13" t="s">
        <v>174</v>
      </c>
      <c r="C8" s="78" t="s">
        <v>405</v>
      </c>
    </row>
    <row r="9" spans="1:3" ht="25.95" customHeight="1" x14ac:dyDescent="0.3">
      <c r="A9" s="70">
        <v>1</v>
      </c>
      <c r="B9" s="71" t="s">
        <v>395</v>
      </c>
      <c r="C9" s="73" t="s">
        <v>370</v>
      </c>
    </row>
    <row r="10" spans="1:3" ht="25.95" customHeight="1" x14ac:dyDescent="0.3">
      <c r="A10" s="70">
        <v>2</v>
      </c>
      <c r="B10" s="71" t="s">
        <v>394</v>
      </c>
      <c r="C10" s="73" t="s">
        <v>370</v>
      </c>
    </row>
    <row r="11" spans="1:3" ht="25.95" customHeight="1" x14ac:dyDescent="0.3">
      <c r="A11" s="146" t="s">
        <v>396</v>
      </c>
      <c r="B11" s="146"/>
      <c r="C11" s="75">
        <f>COUNTIF(C9:C10,"YES")</f>
        <v>0</v>
      </c>
    </row>
    <row r="12" spans="1:3" ht="25.95" customHeight="1" x14ac:dyDescent="0.3">
      <c r="A12" s="150" t="s">
        <v>749</v>
      </c>
      <c r="B12" s="151"/>
      <c r="C12" s="151"/>
    </row>
    <row r="13" spans="1:3" ht="25.95" customHeight="1" x14ac:dyDescent="0.3">
      <c r="A13" s="13"/>
      <c r="B13" s="13" t="s">
        <v>174</v>
      </c>
      <c r="C13" s="78" t="s">
        <v>405</v>
      </c>
    </row>
    <row r="14" spans="1:3" ht="27.6" customHeight="1" x14ac:dyDescent="0.3">
      <c r="A14" s="70">
        <v>1</v>
      </c>
      <c r="B14" s="71" t="s">
        <v>661</v>
      </c>
      <c r="C14" s="73" t="s">
        <v>370</v>
      </c>
    </row>
    <row r="15" spans="1:3" ht="28.8" customHeight="1" x14ac:dyDescent="0.3">
      <c r="A15" s="70">
        <v>2</v>
      </c>
      <c r="B15" s="89" t="s">
        <v>662</v>
      </c>
      <c r="C15" s="74" t="s">
        <v>369</v>
      </c>
    </row>
    <row r="16" spans="1:3" ht="27" customHeight="1" x14ac:dyDescent="0.3">
      <c r="A16" s="70">
        <v>3</v>
      </c>
      <c r="B16" s="89" t="s">
        <v>663</v>
      </c>
      <c r="C16" s="74" t="s">
        <v>369</v>
      </c>
    </row>
    <row r="17" spans="1:3" ht="33.6" customHeight="1" x14ac:dyDescent="0.3">
      <c r="A17" s="70">
        <v>4</v>
      </c>
      <c r="B17" s="89" t="s">
        <v>664</v>
      </c>
      <c r="C17" s="74" t="s">
        <v>369</v>
      </c>
    </row>
    <row r="18" spans="1:3" ht="30" customHeight="1" x14ac:dyDescent="0.3">
      <c r="A18" s="70">
        <v>5</v>
      </c>
      <c r="B18" s="89" t="s">
        <v>665</v>
      </c>
      <c r="C18" s="74" t="s">
        <v>369</v>
      </c>
    </row>
    <row r="19" spans="1:3" ht="33.6" customHeight="1" x14ac:dyDescent="0.3">
      <c r="A19" s="70">
        <v>6</v>
      </c>
      <c r="B19" s="89" t="s">
        <v>666</v>
      </c>
      <c r="C19" s="74" t="s">
        <v>369</v>
      </c>
    </row>
    <row r="20" spans="1:3" ht="30" customHeight="1" x14ac:dyDescent="0.3">
      <c r="A20" s="70">
        <v>7</v>
      </c>
      <c r="B20" s="89" t="s">
        <v>667</v>
      </c>
      <c r="C20" s="74" t="s">
        <v>369</v>
      </c>
    </row>
    <row r="21" spans="1:3" ht="34.200000000000003" customHeight="1" x14ac:dyDescent="0.3">
      <c r="A21" s="70">
        <v>8</v>
      </c>
      <c r="B21" s="89" t="s">
        <v>668</v>
      </c>
      <c r="C21" s="74" t="s">
        <v>369</v>
      </c>
    </row>
    <row r="22" spans="1:3" ht="25.95" customHeight="1" x14ac:dyDescent="0.3">
      <c r="A22" s="70">
        <v>9</v>
      </c>
      <c r="B22" s="89" t="s">
        <v>669</v>
      </c>
      <c r="C22" s="74" t="s">
        <v>369</v>
      </c>
    </row>
    <row r="23" spans="1:3" ht="25.95" customHeight="1" x14ac:dyDescent="0.3">
      <c r="A23" s="70">
        <v>10</v>
      </c>
      <c r="B23" s="89" t="s">
        <v>670</v>
      </c>
      <c r="C23" s="74" t="s">
        <v>369</v>
      </c>
    </row>
    <row r="24" spans="1:3" ht="25.95" customHeight="1" x14ac:dyDescent="0.3">
      <c r="A24" s="70">
        <v>11</v>
      </c>
      <c r="B24" s="89" t="s">
        <v>671</v>
      </c>
      <c r="C24" s="74" t="s">
        <v>369</v>
      </c>
    </row>
    <row r="25" spans="1:3" ht="25.95" customHeight="1" x14ac:dyDescent="0.3">
      <c r="A25" s="70">
        <v>12</v>
      </c>
      <c r="B25" s="89" t="s">
        <v>672</v>
      </c>
      <c r="C25" s="74" t="s">
        <v>369</v>
      </c>
    </row>
    <row r="26" spans="1:3" ht="25.95" customHeight="1" x14ac:dyDescent="0.3">
      <c r="A26" s="70">
        <v>13</v>
      </c>
      <c r="B26" s="89" t="s">
        <v>673</v>
      </c>
      <c r="C26" s="74" t="s">
        <v>369</v>
      </c>
    </row>
    <row r="27" spans="1:3" ht="25.95" customHeight="1" x14ac:dyDescent="0.3">
      <c r="A27" s="70">
        <v>14</v>
      </c>
      <c r="B27" s="89" t="s">
        <v>674</v>
      </c>
      <c r="C27" s="74" t="s">
        <v>369</v>
      </c>
    </row>
    <row r="28" spans="1:3" ht="25.95" customHeight="1" x14ac:dyDescent="0.3">
      <c r="A28" s="70">
        <v>15</v>
      </c>
      <c r="B28" s="89" t="s">
        <v>675</v>
      </c>
      <c r="C28" s="74" t="s">
        <v>369</v>
      </c>
    </row>
    <row r="29" spans="1:3" ht="25.95" customHeight="1" x14ac:dyDescent="0.3">
      <c r="A29" s="70">
        <v>16</v>
      </c>
      <c r="B29" s="89" t="s">
        <v>676</v>
      </c>
      <c r="C29" s="74" t="s">
        <v>369</v>
      </c>
    </row>
    <row r="30" spans="1:3" ht="25.95" customHeight="1" x14ac:dyDescent="0.3">
      <c r="A30" s="70">
        <v>17</v>
      </c>
      <c r="B30" s="71" t="s">
        <v>677</v>
      </c>
      <c r="C30" s="73" t="s">
        <v>370</v>
      </c>
    </row>
    <row r="31" spans="1:3" ht="25.95" customHeight="1" x14ac:dyDescent="0.3">
      <c r="A31" s="70">
        <v>18</v>
      </c>
      <c r="B31" s="71" t="s">
        <v>678</v>
      </c>
      <c r="C31" s="73" t="s">
        <v>370</v>
      </c>
    </row>
    <row r="32" spans="1:3" ht="25.95" customHeight="1" x14ac:dyDescent="0.3">
      <c r="A32" s="70">
        <v>19</v>
      </c>
      <c r="B32" s="89" t="s">
        <v>679</v>
      </c>
      <c r="C32" s="74" t="s">
        <v>369</v>
      </c>
    </row>
    <row r="33" spans="1:3" ht="25.95" customHeight="1" x14ac:dyDescent="0.3">
      <c r="A33" s="70">
        <v>20</v>
      </c>
      <c r="B33" s="89" t="s">
        <v>680</v>
      </c>
      <c r="C33" s="74" t="s">
        <v>369</v>
      </c>
    </row>
    <row r="34" spans="1:3" ht="25.95" customHeight="1" x14ac:dyDescent="0.3">
      <c r="A34" s="70">
        <v>21</v>
      </c>
      <c r="B34" s="89" t="s">
        <v>681</v>
      </c>
      <c r="C34" s="74" t="s">
        <v>369</v>
      </c>
    </row>
    <row r="35" spans="1:3" ht="25.95" customHeight="1" x14ac:dyDescent="0.3">
      <c r="A35" s="70">
        <v>22</v>
      </c>
      <c r="B35" s="89" t="s">
        <v>682</v>
      </c>
      <c r="C35" s="74" t="s">
        <v>369</v>
      </c>
    </row>
    <row r="36" spans="1:3" ht="25.95" customHeight="1" x14ac:dyDescent="0.3">
      <c r="A36" s="70">
        <v>23</v>
      </c>
      <c r="B36" s="89" t="s">
        <v>683</v>
      </c>
      <c r="C36" s="74" t="s">
        <v>369</v>
      </c>
    </row>
    <row r="37" spans="1:3" ht="25.95" customHeight="1" x14ac:dyDescent="0.3">
      <c r="A37" s="70">
        <v>24</v>
      </c>
      <c r="B37" s="89" t="s">
        <v>684</v>
      </c>
      <c r="C37" s="74" t="s">
        <v>369</v>
      </c>
    </row>
    <row r="38" spans="1:3" ht="25.95" customHeight="1" x14ac:dyDescent="0.3">
      <c r="A38" s="70">
        <v>25</v>
      </c>
      <c r="B38" s="89" t="s">
        <v>685</v>
      </c>
      <c r="C38" s="74" t="s">
        <v>369</v>
      </c>
    </row>
    <row r="39" spans="1:3" ht="25.95" customHeight="1" x14ac:dyDescent="0.3">
      <c r="A39" s="70">
        <v>26</v>
      </c>
      <c r="B39" s="89" t="s">
        <v>686</v>
      </c>
      <c r="C39" s="74" t="s">
        <v>369</v>
      </c>
    </row>
    <row r="40" spans="1:3" ht="25.95" customHeight="1" x14ac:dyDescent="0.3">
      <c r="A40" s="70">
        <v>27</v>
      </c>
      <c r="B40" s="89" t="s">
        <v>687</v>
      </c>
      <c r="C40" s="74" t="s">
        <v>369</v>
      </c>
    </row>
    <row r="41" spans="1:3" ht="25.95" customHeight="1" x14ac:dyDescent="0.3">
      <c r="A41" s="70">
        <v>28</v>
      </c>
      <c r="B41" s="89" t="s">
        <v>688</v>
      </c>
      <c r="C41" s="74" t="s">
        <v>369</v>
      </c>
    </row>
    <row r="42" spans="1:3" ht="25.95" customHeight="1" x14ac:dyDescent="0.3">
      <c r="A42" s="70">
        <v>29</v>
      </c>
      <c r="B42" s="89" t="s">
        <v>689</v>
      </c>
      <c r="C42" s="74" t="s">
        <v>369</v>
      </c>
    </row>
    <row r="43" spans="1:3" ht="25.95" customHeight="1" x14ac:dyDescent="0.3">
      <c r="A43" s="70">
        <v>30</v>
      </c>
      <c r="B43" s="89" t="s">
        <v>690</v>
      </c>
      <c r="C43" s="74" t="s">
        <v>369</v>
      </c>
    </row>
    <row r="44" spans="1:3" ht="25.95" customHeight="1" x14ac:dyDescent="0.3">
      <c r="A44" s="70">
        <v>31</v>
      </c>
      <c r="B44" s="89" t="s">
        <v>691</v>
      </c>
      <c r="C44" s="74" t="s">
        <v>369</v>
      </c>
    </row>
    <row r="45" spans="1:3" ht="25.95" customHeight="1" x14ac:dyDescent="0.3">
      <c r="A45" s="70">
        <v>32</v>
      </c>
      <c r="B45" s="89" t="s">
        <v>692</v>
      </c>
      <c r="C45" s="74" t="s">
        <v>369</v>
      </c>
    </row>
    <row r="46" spans="1:3" ht="25.95" customHeight="1" x14ac:dyDescent="0.3">
      <c r="A46" s="70">
        <v>33</v>
      </c>
      <c r="B46" s="89" t="s">
        <v>693</v>
      </c>
      <c r="C46" s="74" t="s">
        <v>369</v>
      </c>
    </row>
    <row r="47" spans="1:3" ht="25.95" customHeight="1" x14ac:dyDescent="0.3">
      <c r="A47" s="70">
        <v>34</v>
      </c>
      <c r="B47" s="89" t="s">
        <v>694</v>
      </c>
      <c r="C47" s="74" t="s">
        <v>369</v>
      </c>
    </row>
    <row r="48" spans="1:3" ht="25.95" customHeight="1" x14ac:dyDescent="0.3">
      <c r="A48" s="70">
        <v>35</v>
      </c>
      <c r="B48" s="89" t="s">
        <v>695</v>
      </c>
      <c r="C48" s="74" t="s">
        <v>369</v>
      </c>
    </row>
    <row r="49" spans="1:3" ht="25.95" customHeight="1" x14ac:dyDescent="0.3">
      <c r="A49" s="70">
        <v>36</v>
      </c>
      <c r="B49" s="89" t="s">
        <v>694</v>
      </c>
      <c r="C49" s="74" t="s">
        <v>369</v>
      </c>
    </row>
    <row r="50" spans="1:3" ht="25.95" customHeight="1" x14ac:dyDescent="0.3">
      <c r="A50" s="70">
        <v>37</v>
      </c>
      <c r="B50" s="89" t="s">
        <v>696</v>
      </c>
      <c r="C50" s="74" t="s">
        <v>369</v>
      </c>
    </row>
    <row r="51" spans="1:3" ht="25.95" customHeight="1" x14ac:dyDescent="0.3">
      <c r="A51" s="70">
        <v>38</v>
      </c>
      <c r="B51" s="89" t="s">
        <v>697</v>
      </c>
      <c r="C51" s="74" t="s">
        <v>369</v>
      </c>
    </row>
    <row r="52" spans="1:3" ht="25.95" customHeight="1" x14ac:dyDescent="0.3">
      <c r="A52" s="70">
        <v>39</v>
      </c>
      <c r="B52" s="89" t="s">
        <v>698</v>
      </c>
      <c r="C52" s="74" t="s">
        <v>369</v>
      </c>
    </row>
    <row r="53" spans="1:3" ht="25.95" customHeight="1" x14ac:dyDescent="0.3">
      <c r="A53" s="70">
        <v>40</v>
      </c>
      <c r="B53" s="89" t="s">
        <v>699</v>
      </c>
      <c r="C53" s="74" t="s">
        <v>369</v>
      </c>
    </row>
    <row r="54" spans="1:3" ht="25.95" customHeight="1" x14ac:dyDescent="0.3">
      <c r="A54" s="70">
        <v>41</v>
      </c>
      <c r="B54" s="89" t="s">
        <v>700</v>
      </c>
      <c r="C54" s="74" t="s">
        <v>369</v>
      </c>
    </row>
    <row r="55" spans="1:3" ht="26.4" x14ac:dyDescent="0.3">
      <c r="A55" s="70">
        <v>42</v>
      </c>
      <c r="B55" s="89" t="s">
        <v>701</v>
      </c>
      <c r="C55" s="74" t="s">
        <v>369</v>
      </c>
    </row>
    <row r="56" spans="1:3" ht="34.200000000000003" customHeight="1" x14ac:dyDescent="0.3">
      <c r="A56" s="70">
        <v>43</v>
      </c>
      <c r="B56" s="89" t="s">
        <v>702</v>
      </c>
      <c r="C56" s="74" t="s">
        <v>369</v>
      </c>
    </row>
    <row r="57" spans="1:3" x14ac:dyDescent="0.3">
      <c r="A57" s="70">
        <v>44</v>
      </c>
      <c r="B57" s="89" t="s">
        <v>703</v>
      </c>
      <c r="C57" s="74" t="s">
        <v>369</v>
      </c>
    </row>
    <row r="58" spans="1:3" ht="26.4" x14ac:dyDescent="0.3">
      <c r="A58" s="70">
        <v>45</v>
      </c>
      <c r="B58" s="89" t="s">
        <v>704</v>
      </c>
      <c r="C58" s="74" t="s">
        <v>369</v>
      </c>
    </row>
    <row r="59" spans="1:3" ht="26.4" x14ac:dyDescent="0.3">
      <c r="A59" s="70">
        <v>46</v>
      </c>
      <c r="B59" s="89" t="s">
        <v>705</v>
      </c>
      <c r="C59" s="74" t="s">
        <v>369</v>
      </c>
    </row>
    <row r="60" spans="1:3" ht="26.4" x14ac:dyDescent="0.3">
      <c r="A60" s="70">
        <v>47</v>
      </c>
      <c r="B60" s="89" t="s">
        <v>706</v>
      </c>
      <c r="C60" s="74" t="s">
        <v>369</v>
      </c>
    </row>
    <row r="61" spans="1:3" x14ac:dyDescent="0.3">
      <c r="A61" s="70">
        <v>48</v>
      </c>
      <c r="B61" s="89" t="s">
        <v>707</v>
      </c>
      <c r="C61" s="74" t="s">
        <v>369</v>
      </c>
    </row>
    <row r="62" spans="1:3" ht="26.4" x14ac:dyDescent="0.3">
      <c r="A62" s="70">
        <v>49</v>
      </c>
      <c r="B62" s="89" t="s">
        <v>708</v>
      </c>
      <c r="C62" s="74" t="s">
        <v>369</v>
      </c>
    </row>
    <row r="63" spans="1:3" ht="26.4" x14ac:dyDescent="0.3">
      <c r="A63" s="70">
        <v>50</v>
      </c>
      <c r="B63" s="89" t="s">
        <v>709</v>
      </c>
      <c r="C63" s="74" t="s">
        <v>369</v>
      </c>
    </row>
    <row r="64" spans="1:3" ht="26.4" x14ac:dyDescent="0.3">
      <c r="A64" s="70">
        <v>51</v>
      </c>
      <c r="B64" s="89" t="s">
        <v>710</v>
      </c>
      <c r="C64" s="74" t="s">
        <v>369</v>
      </c>
    </row>
    <row r="65" spans="1:3" ht="26.4" x14ac:dyDescent="0.3">
      <c r="A65" s="70">
        <v>52</v>
      </c>
      <c r="B65" s="89" t="s">
        <v>711</v>
      </c>
      <c r="C65" s="74" t="s">
        <v>369</v>
      </c>
    </row>
    <row r="66" spans="1:3" x14ac:dyDescent="0.3">
      <c r="A66" s="70">
        <v>53</v>
      </c>
      <c r="B66" s="89" t="s">
        <v>712</v>
      </c>
      <c r="C66" s="74" t="s">
        <v>369</v>
      </c>
    </row>
    <row r="67" spans="1:3" ht="26.4" x14ac:dyDescent="0.3">
      <c r="A67" s="70">
        <v>54</v>
      </c>
      <c r="B67" s="89" t="s">
        <v>713</v>
      </c>
      <c r="C67" s="74" t="s">
        <v>369</v>
      </c>
    </row>
    <row r="68" spans="1:3" x14ac:dyDescent="0.3">
      <c r="A68" s="70">
        <v>55</v>
      </c>
      <c r="B68" s="89" t="s">
        <v>714</v>
      </c>
      <c r="C68" s="74" t="s">
        <v>369</v>
      </c>
    </row>
    <row r="69" spans="1:3" ht="26.4" x14ac:dyDescent="0.3">
      <c r="A69" s="70">
        <v>56</v>
      </c>
      <c r="B69" s="89" t="s">
        <v>715</v>
      </c>
      <c r="C69" s="74" t="s">
        <v>369</v>
      </c>
    </row>
    <row r="70" spans="1:3" ht="43.2" customHeight="1" x14ac:dyDescent="0.3">
      <c r="A70" s="70">
        <v>57</v>
      </c>
      <c r="B70" s="89" t="s">
        <v>716</v>
      </c>
      <c r="C70" s="74" t="s">
        <v>369</v>
      </c>
    </row>
    <row r="71" spans="1:3" x14ac:dyDescent="0.3">
      <c r="A71" s="70">
        <v>58</v>
      </c>
      <c r="B71" s="89" t="s">
        <v>717</v>
      </c>
      <c r="C71" s="74" t="s">
        <v>369</v>
      </c>
    </row>
    <row r="72" spans="1:3" x14ac:dyDescent="0.3">
      <c r="A72" s="70">
        <v>59</v>
      </c>
      <c r="B72" s="89" t="s">
        <v>718</v>
      </c>
      <c r="C72" s="74" t="s">
        <v>369</v>
      </c>
    </row>
    <row r="73" spans="1:3" x14ac:dyDescent="0.3">
      <c r="A73" s="70">
        <v>60</v>
      </c>
      <c r="B73" s="89" t="s">
        <v>719</v>
      </c>
      <c r="C73" s="74" t="s">
        <v>369</v>
      </c>
    </row>
    <row r="74" spans="1:3" x14ac:dyDescent="0.3">
      <c r="A74" s="70">
        <v>61</v>
      </c>
      <c r="B74" s="89" t="s">
        <v>720</v>
      </c>
      <c r="C74" s="74" t="s">
        <v>369</v>
      </c>
    </row>
    <row r="75" spans="1:3" ht="26.4" x14ac:dyDescent="0.3">
      <c r="A75" s="70">
        <v>62</v>
      </c>
      <c r="B75" s="89" t="s">
        <v>721</v>
      </c>
      <c r="C75" s="74" t="s">
        <v>369</v>
      </c>
    </row>
    <row r="76" spans="1:3" ht="26.4" x14ac:dyDescent="0.3">
      <c r="A76" s="70">
        <v>63</v>
      </c>
      <c r="B76" s="89" t="s">
        <v>722</v>
      </c>
      <c r="C76" s="74" t="s">
        <v>369</v>
      </c>
    </row>
    <row r="77" spans="1:3" x14ac:dyDescent="0.3">
      <c r="A77" s="70">
        <v>64</v>
      </c>
      <c r="B77" s="89" t="s">
        <v>723</v>
      </c>
      <c r="C77" s="74" t="s">
        <v>369</v>
      </c>
    </row>
    <row r="78" spans="1:3" x14ac:dyDescent="0.3">
      <c r="A78" s="70">
        <v>65</v>
      </c>
      <c r="B78" s="89" t="s">
        <v>724</v>
      </c>
      <c r="C78" s="74" t="s">
        <v>369</v>
      </c>
    </row>
    <row r="79" spans="1:3" ht="26.4" x14ac:dyDescent="0.3">
      <c r="A79" s="70">
        <v>66</v>
      </c>
      <c r="B79" s="89" t="s">
        <v>725</v>
      </c>
      <c r="C79" s="74" t="s">
        <v>369</v>
      </c>
    </row>
    <row r="80" spans="1:3" ht="26.4" x14ac:dyDescent="0.3">
      <c r="A80" s="70">
        <v>67</v>
      </c>
      <c r="B80" s="89" t="s">
        <v>726</v>
      </c>
      <c r="C80" s="74" t="s">
        <v>369</v>
      </c>
    </row>
    <row r="81" spans="1:3" ht="26.4" x14ac:dyDescent="0.3">
      <c r="A81" s="70">
        <v>68</v>
      </c>
      <c r="B81" s="89" t="s">
        <v>727</v>
      </c>
      <c r="C81" s="74" t="s">
        <v>369</v>
      </c>
    </row>
    <row r="82" spans="1:3" ht="26.4" x14ac:dyDescent="0.3">
      <c r="A82" s="70">
        <v>69</v>
      </c>
      <c r="B82" s="89" t="s">
        <v>728</v>
      </c>
      <c r="C82" s="74" t="s">
        <v>369</v>
      </c>
    </row>
    <row r="83" spans="1:3" x14ac:dyDescent="0.3">
      <c r="A83" s="70">
        <v>70</v>
      </c>
      <c r="B83" s="89" t="s">
        <v>729</v>
      </c>
      <c r="C83" s="74" t="s">
        <v>369</v>
      </c>
    </row>
    <row r="84" spans="1:3" ht="26.4" x14ac:dyDescent="0.3">
      <c r="A84" s="70">
        <v>71</v>
      </c>
      <c r="B84" s="89" t="s">
        <v>730</v>
      </c>
      <c r="C84" s="74" t="s">
        <v>369</v>
      </c>
    </row>
    <row r="85" spans="1:3" x14ac:dyDescent="0.3">
      <c r="A85" s="70">
        <v>72</v>
      </c>
      <c r="B85" s="89" t="s">
        <v>731</v>
      </c>
      <c r="C85" s="74" t="s">
        <v>369</v>
      </c>
    </row>
    <row r="86" spans="1:3" ht="26.4" x14ac:dyDescent="0.3">
      <c r="A86" s="70">
        <v>73</v>
      </c>
      <c r="B86" s="89" t="s">
        <v>732</v>
      </c>
      <c r="C86" s="74" t="s">
        <v>369</v>
      </c>
    </row>
    <row r="87" spans="1:3" x14ac:dyDescent="0.3">
      <c r="A87" s="70">
        <v>74</v>
      </c>
      <c r="B87" s="89" t="s">
        <v>733</v>
      </c>
      <c r="C87" s="74" t="s">
        <v>369</v>
      </c>
    </row>
    <row r="88" spans="1:3" x14ac:dyDescent="0.3">
      <c r="A88" s="70">
        <v>75</v>
      </c>
      <c r="B88" s="89" t="s">
        <v>734</v>
      </c>
      <c r="C88" s="74" t="s">
        <v>369</v>
      </c>
    </row>
    <row r="89" spans="1:3" ht="26.4" x14ac:dyDescent="0.3">
      <c r="A89" s="70">
        <v>76</v>
      </c>
      <c r="B89" s="89" t="s">
        <v>735</v>
      </c>
      <c r="C89" s="74" t="s">
        <v>369</v>
      </c>
    </row>
    <row r="90" spans="1:3" x14ac:dyDescent="0.3">
      <c r="A90" s="70">
        <v>77</v>
      </c>
      <c r="B90" s="89" t="s">
        <v>736</v>
      </c>
      <c r="C90" s="74" t="s">
        <v>369</v>
      </c>
    </row>
    <row r="91" spans="1:3" x14ac:dyDescent="0.3">
      <c r="A91" s="70">
        <v>78</v>
      </c>
      <c r="B91" s="89" t="s">
        <v>737</v>
      </c>
      <c r="C91" s="74" t="s">
        <v>369</v>
      </c>
    </row>
    <row r="92" spans="1:3" ht="26.4" x14ac:dyDescent="0.3">
      <c r="A92" s="70">
        <v>79</v>
      </c>
      <c r="B92" s="89" t="s">
        <v>738</v>
      </c>
      <c r="C92" s="74" t="s">
        <v>369</v>
      </c>
    </row>
    <row r="93" spans="1:3" ht="26.4" x14ac:dyDescent="0.3">
      <c r="A93" s="70">
        <v>80</v>
      </c>
      <c r="B93" s="89" t="s">
        <v>739</v>
      </c>
      <c r="C93" s="74" t="s">
        <v>369</v>
      </c>
    </row>
    <row r="94" spans="1:3" ht="26.4" x14ac:dyDescent="0.3">
      <c r="A94" s="70">
        <v>81</v>
      </c>
      <c r="B94" s="89" t="s">
        <v>740</v>
      </c>
      <c r="C94" s="74" t="s">
        <v>369</v>
      </c>
    </row>
    <row r="95" spans="1:3" ht="26.4" x14ac:dyDescent="0.3">
      <c r="A95" s="70">
        <v>82</v>
      </c>
      <c r="B95" s="89" t="s">
        <v>741</v>
      </c>
      <c r="C95" s="74" t="s">
        <v>369</v>
      </c>
    </row>
    <row r="96" spans="1:3" x14ac:dyDescent="0.3">
      <c r="A96" s="70">
        <v>83</v>
      </c>
      <c r="B96" s="71" t="s">
        <v>742</v>
      </c>
      <c r="C96" s="73" t="s">
        <v>370</v>
      </c>
    </row>
    <row r="97" spans="1:3" x14ac:dyDescent="0.3">
      <c r="A97" s="70">
        <v>84</v>
      </c>
      <c r="B97" s="89" t="s">
        <v>743</v>
      </c>
      <c r="C97" s="74" t="s">
        <v>369</v>
      </c>
    </row>
    <row r="98" spans="1:3" ht="26.4" x14ac:dyDescent="0.3">
      <c r="A98" s="70">
        <v>85</v>
      </c>
      <c r="B98" s="89" t="s">
        <v>744</v>
      </c>
      <c r="C98" s="74" t="s">
        <v>369</v>
      </c>
    </row>
    <row r="99" spans="1:3" x14ac:dyDescent="0.3">
      <c r="A99" s="70">
        <v>86</v>
      </c>
      <c r="B99" s="89" t="s">
        <v>745</v>
      </c>
      <c r="C99" s="74" t="s">
        <v>369</v>
      </c>
    </row>
    <row r="100" spans="1:3" ht="26.4" x14ac:dyDescent="0.3">
      <c r="A100" s="70">
        <v>87</v>
      </c>
      <c r="B100" s="89" t="s">
        <v>746</v>
      </c>
      <c r="C100" s="74" t="s">
        <v>369</v>
      </c>
    </row>
    <row r="101" spans="1:3" ht="26.4" x14ac:dyDescent="0.3">
      <c r="A101" s="70">
        <v>88</v>
      </c>
      <c r="B101" s="89" t="s">
        <v>747</v>
      </c>
      <c r="C101" s="74" t="s">
        <v>369</v>
      </c>
    </row>
    <row r="102" spans="1:3" x14ac:dyDescent="0.3">
      <c r="A102" s="70">
        <v>89</v>
      </c>
      <c r="B102" s="89" t="s">
        <v>748</v>
      </c>
      <c r="C102" s="74" t="s">
        <v>369</v>
      </c>
    </row>
    <row r="103" spans="1:3" ht="14.4" customHeight="1" x14ac:dyDescent="0.3">
      <c r="A103" s="146" t="s">
        <v>753</v>
      </c>
      <c r="B103" s="146"/>
      <c r="C103" s="87">
        <f>COUNTIF(C14:C102,"YES")</f>
        <v>85</v>
      </c>
    </row>
    <row r="104" spans="1:3" x14ac:dyDescent="0.3">
      <c r="A104" s="147" t="s">
        <v>752</v>
      </c>
      <c r="B104" s="148"/>
      <c r="C104" s="86">
        <f>COUNTIF(C4:C102,"YES")</f>
        <v>85</v>
      </c>
    </row>
    <row r="105" spans="1:3" x14ac:dyDescent="0.3">
      <c r="A105" s="147"/>
      <c r="B105" s="148"/>
      <c r="C105" s="85">
        <f>COUNTIF(C4:C102,"NO")</f>
        <v>8</v>
      </c>
    </row>
    <row r="106" spans="1:3" x14ac:dyDescent="0.3">
      <c r="A106" s="70"/>
      <c r="B106" s="71"/>
    </row>
    <row r="107" spans="1:3" x14ac:dyDescent="0.3">
      <c r="A107" s="70"/>
      <c r="B107" s="71"/>
    </row>
    <row r="108" spans="1:3" x14ac:dyDescent="0.3">
      <c r="A108" s="70"/>
      <c r="B108" s="71"/>
    </row>
  </sheetData>
  <mergeCells count="8">
    <mergeCell ref="A103:B103"/>
    <mergeCell ref="A104:B105"/>
    <mergeCell ref="A1:C1"/>
    <mergeCell ref="A2:C2"/>
    <mergeCell ref="A6:B6"/>
    <mergeCell ref="A7:C7"/>
    <mergeCell ref="A11:B11"/>
    <mergeCell ref="A12:C1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38"/>
  <sheetViews>
    <sheetView topLeftCell="A106" zoomScale="70" zoomScaleNormal="70" workbookViewId="0">
      <selection activeCell="J133" sqref="J133"/>
    </sheetView>
  </sheetViews>
  <sheetFormatPr defaultRowHeight="14.4" x14ac:dyDescent="0.3"/>
  <cols>
    <col min="1" max="1" width="5" customWidth="1"/>
    <col min="2" max="2" width="88.6640625" customWidth="1"/>
    <col min="3" max="3" width="14" customWidth="1"/>
  </cols>
  <sheetData>
    <row r="1" spans="1:3" ht="28.05" customHeight="1" x14ac:dyDescent="0.3">
      <c r="A1" s="149" t="s">
        <v>209</v>
      </c>
      <c r="B1" s="141"/>
      <c r="C1" s="141"/>
    </row>
    <row r="2" spans="1:3" ht="18" customHeight="1" x14ac:dyDescent="0.3">
      <c r="A2" s="152" t="s">
        <v>273</v>
      </c>
      <c r="B2" s="141"/>
      <c r="C2" s="141"/>
    </row>
    <row r="3" spans="1:3" ht="30" customHeight="1" x14ac:dyDescent="0.3">
      <c r="A3" s="78" t="s">
        <v>141</v>
      </c>
      <c r="B3" s="78" t="s">
        <v>174</v>
      </c>
      <c r="C3" s="78" t="s">
        <v>208</v>
      </c>
    </row>
    <row r="4" spans="1:3" ht="30" customHeight="1" x14ac:dyDescent="0.3">
      <c r="A4" s="70">
        <v>1</v>
      </c>
      <c r="B4" s="71" t="s">
        <v>274</v>
      </c>
      <c r="C4" s="73" t="s">
        <v>369</v>
      </c>
    </row>
    <row r="5" spans="1:3" ht="37.200000000000003" customHeight="1" x14ac:dyDescent="0.3">
      <c r="A5" s="72">
        <v>2</v>
      </c>
      <c r="B5" s="71" t="s">
        <v>275</v>
      </c>
      <c r="C5" s="73" t="s">
        <v>369</v>
      </c>
    </row>
    <row r="6" spans="1:3" ht="31.8" customHeight="1" x14ac:dyDescent="0.3">
      <c r="A6" s="70">
        <v>3</v>
      </c>
      <c r="B6" s="71" t="s">
        <v>276</v>
      </c>
      <c r="C6" s="73" t="s">
        <v>369</v>
      </c>
    </row>
    <row r="7" spans="1:3" ht="25.95" customHeight="1" x14ac:dyDescent="0.3">
      <c r="A7" s="72">
        <v>4</v>
      </c>
      <c r="B7" s="71" t="s">
        <v>277</v>
      </c>
      <c r="C7" s="73" t="s">
        <v>369</v>
      </c>
    </row>
    <row r="8" spans="1:3" ht="25.95" customHeight="1" x14ac:dyDescent="0.3">
      <c r="A8" s="70">
        <v>5</v>
      </c>
      <c r="B8" s="71" t="s">
        <v>278</v>
      </c>
      <c r="C8" s="74" t="s">
        <v>370</v>
      </c>
    </row>
    <row r="9" spans="1:3" ht="25.95" customHeight="1" x14ac:dyDescent="0.3">
      <c r="A9" s="72">
        <v>6</v>
      </c>
      <c r="B9" s="71" t="s">
        <v>279</v>
      </c>
      <c r="C9" s="74" t="s">
        <v>370</v>
      </c>
    </row>
    <row r="10" spans="1:3" ht="25.95" customHeight="1" x14ac:dyDescent="0.3">
      <c r="A10" s="70">
        <v>7</v>
      </c>
      <c r="B10" s="71" t="s">
        <v>280</v>
      </c>
      <c r="C10" s="73" t="s">
        <v>369</v>
      </c>
    </row>
    <row r="11" spans="1:3" ht="25.95" customHeight="1" x14ac:dyDescent="0.3">
      <c r="A11" s="72">
        <v>8</v>
      </c>
      <c r="B11" s="71" t="s">
        <v>281</v>
      </c>
      <c r="C11" s="73" t="s">
        <v>369</v>
      </c>
    </row>
    <row r="12" spans="1:3" ht="25.95" customHeight="1" x14ac:dyDescent="0.3">
      <c r="A12" s="70">
        <v>9</v>
      </c>
      <c r="B12" s="71" t="s">
        <v>282</v>
      </c>
      <c r="C12" s="73" t="s">
        <v>369</v>
      </c>
    </row>
    <row r="13" spans="1:3" ht="25.95" customHeight="1" x14ac:dyDescent="0.3">
      <c r="A13" s="72">
        <v>10</v>
      </c>
      <c r="B13" s="71" t="s">
        <v>283</v>
      </c>
      <c r="C13" s="74" t="s">
        <v>370</v>
      </c>
    </row>
    <row r="14" spans="1:3" ht="25.95" customHeight="1" x14ac:dyDescent="0.3">
      <c r="A14" s="70">
        <v>11</v>
      </c>
      <c r="B14" s="71" t="s">
        <v>284</v>
      </c>
      <c r="C14" s="73" t="s">
        <v>369</v>
      </c>
    </row>
    <row r="15" spans="1:3" ht="25.95" customHeight="1" x14ac:dyDescent="0.3">
      <c r="A15" s="72">
        <v>12</v>
      </c>
      <c r="B15" s="71" t="s">
        <v>285</v>
      </c>
      <c r="C15" s="73" t="s">
        <v>369</v>
      </c>
    </row>
    <row r="16" spans="1:3" ht="25.95" customHeight="1" x14ac:dyDescent="0.3">
      <c r="A16" s="70">
        <v>13</v>
      </c>
      <c r="B16" s="71" t="s">
        <v>286</v>
      </c>
      <c r="C16" s="74" t="s">
        <v>370</v>
      </c>
    </row>
    <row r="17" spans="1:3" ht="29.4" customHeight="1" x14ac:dyDescent="0.3">
      <c r="A17" s="72">
        <v>14</v>
      </c>
      <c r="B17" s="71" t="s">
        <v>287</v>
      </c>
      <c r="C17" s="73" t="s">
        <v>369</v>
      </c>
    </row>
    <row r="18" spans="1:3" ht="25.95" customHeight="1" x14ac:dyDescent="0.3">
      <c r="A18" s="70">
        <v>15</v>
      </c>
      <c r="B18" s="71" t="s">
        <v>288</v>
      </c>
      <c r="C18" s="73" t="s">
        <v>369</v>
      </c>
    </row>
    <row r="19" spans="1:3" ht="25.95" customHeight="1" x14ac:dyDescent="0.3">
      <c r="A19" s="72">
        <v>16</v>
      </c>
      <c r="B19" s="71" t="s">
        <v>289</v>
      </c>
      <c r="C19" s="73" t="s">
        <v>369</v>
      </c>
    </row>
    <row r="20" spans="1:3" ht="31.2" customHeight="1" x14ac:dyDescent="0.3">
      <c r="A20" s="70">
        <v>17</v>
      </c>
      <c r="B20" s="71" t="s">
        <v>290</v>
      </c>
      <c r="C20" s="73" t="s">
        <v>369</v>
      </c>
    </row>
    <row r="21" spans="1:3" ht="34.200000000000003" customHeight="1" x14ac:dyDescent="0.3">
      <c r="A21" s="72">
        <v>18</v>
      </c>
      <c r="B21" s="71" t="s">
        <v>291</v>
      </c>
      <c r="C21" s="73" t="s">
        <v>369</v>
      </c>
    </row>
    <row r="22" spans="1:3" ht="34.200000000000003" customHeight="1" x14ac:dyDescent="0.3">
      <c r="A22" s="70">
        <v>19</v>
      </c>
      <c r="B22" s="71" t="s">
        <v>292</v>
      </c>
      <c r="C22" s="73" t="s">
        <v>369</v>
      </c>
    </row>
    <row r="23" spans="1:3" ht="25.95" customHeight="1" x14ac:dyDescent="0.3">
      <c r="A23" s="72">
        <v>20</v>
      </c>
      <c r="B23" s="71" t="s">
        <v>293</v>
      </c>
      <c r="C23" s="73" t="s">
        <v>369</v>
      </c>
    </row>
    <row r="24" spans="1:3" ht="25.95" customHeight="1" x14ac:dyDescent="0.3">
      <c r="A24" s="70">
        <v>21</v>
      </c>
      <c r="B24" s="71" t="s">
        <v>294</v>
      </c>
      <c r="C24" s="73" t="s">
        <v>369</v>
      </c>
    </row>
    <row r="25" spans="1:3" ht="25.95" customHeight="1" x14ac:dyDescent="0.3">
      <c r="A25" s="72">
        <v>22</v>
      </c>
      <c r="B25" s="71" t="s">
        <v>295</v>
      </c>
      <c r="C25" s="73" t="s">
        <v>369</v>
      </c>
    </row>
    <row r="26" spans="1:3" ht="25.95" customHeight="1" x14ac:dyDescent="0.3">
      <c r="A26" s="70">
        <v>23</v>
      </c>
      <c r="B26" s="71" t="s">
        <v>296</v>
      </c>
      <c r="C26" s="73" t="s">
        <v>369</v>
      </c>
    </row>
    <row r="27" spans="1:3" ht="25.95" customHeight="1" x14ac:dyDescent="0.3">
      <c r="A27" s="72">
        <v>24</v>
      </c>
      <c r="B27" s="71" t="s">
        <v>297</v>
      </c>
      <c r="C27" s="74" t="s">
        <v>370</v>
      </c>
    </row>
    <row r="28" spans="1:3" ht="25.95" customHeight="1" x14ac:dyDescent="0.3">
      <c r="A28" s="70">
        <v>25</v>
      </c>
      <c r="B28" s="71" t="s">
        <v>298</v>
      </c>
      <c r="C28" s="73" t="s">
        <v>369</v>
      </c>
    </row>
    <row r="29" spans="1:3" ht="25.95" customHeight="1" x14ac:dyDescent="0.3">
      <c r="A29" s="72">
        <v>26</v>
      </c>
      <c r="B29" s="71" t="s">
        <v>299</v>
      </c>
      <c r="C29" s="73" t="s">
        <v>369</v>
      </c>
    </row>
    <row r="30" spans="1:3" ht="25.95" customHeight="1" x14ac:dyDescent="0.3">
      <c r="A30" s="70">
        <v>27</v>
      </c>
      <c r="B30" s="71" t="s">
        <v>300</v>
      </c>
      <c r="C30" s="73" t="s">
        <v>369</v>
      </c>
    </row>
    <row r="31" spans="1:3" ht="25.95" customHeight="1" x14ac:dyDescent="0.3">
      <c r="A31" s="72">
        <v>28</v>
      </c>
      <c r="B31" s="71" t="s">
        <v>301</v>
      </c>
      <c r="C31" s="74" t="s">
        <v>370</v>
      </c>
    </row>
    <row r="32" spans="1:3" ht="25.95" customHeight="1" x14ac:dyDescent="0.3">
      <c r="A32" s="70">
        <v>29</v>
      </c>
      <c r="B32" s="71" t="s">
        <v>302</v>
      </c>
      <c r="C32" s="73" t="s">
        <v>369</v>
      </c>
    </row>
    <row r="33" spans="1:3" ht="25.95" customHeight="1" x14ac:dyDescent="0.3">
      <c r="A33" s="72">
        <v>30</v>
      </c>
      <c r="B33" s="71" t="s">
        <v>303</v>
      </c>
      <c r="C33" s="74" t="s">
        <v>370</v>
      </c>
    </row>
    <row r="34" spans="1:3" ht="25.95" customHeight="1" x14ac:dyDescent="0.3">
      <c r="A34" s="70">
        <v>31</v>
      </c>
      <c r="B34" s="71" t="s">
        <v>304</v>
      </c>
      <c r="C34" s="73" t="s">
        <v>369</v>
      </c>
    </row>
    <row r="35" spans="1:3" ht="25.95" customHeight="1" x14ac:dyDescent="0.3">
      <c r="A35" s="72">
        <v>32</v>
      </c>
      <c r="B35" s="71" t="s">
        <v>305</v>
      </c>
      <c r="C35" s="73" t="s">
        <v>369</v>
      </c>
    </row>
    <row r="36" spans="1:3" ht="25.95" customHeight="1" x14ac:dyDescent="0.3">
      <c r="A36" s="70">
        <v>33</v>
      </c>
      <c r="B36" s="71" t="s">
        <v>306</v>
      </c>
      <c r="C36" s="74" t="s">
        <v>370</v>
      </c>
    </row>
    <row r="37" spans="1:3" ht="25.95" customHeight="1" x14ac:dyDescent="0.3">
      <c r="A37" s="72">
        <v>34</v>
      </c>
      <c r="B37" s="71" t="s">
        <v>307</v>
      </c>
      <c r="C37" s="73" t="s">
        <v>369</v>
      </c>
    </row>
    <row r="38" spans="1:3" ht="25.95" customHeight="1" x14ac:dyDescent="0.3">
      <c r="A38" s="70">
        <v>35</v>
      </c>
      <c r="B38" s="71" t="s">
        <v>308</v>
      </c>
      <c r="C38" s="74" t="s">
        <v>370</v>
      </c>
    </row>
    <row r="39" spans="1:3" ht="25.95" customHeight="1" x14ac:dyDescent="0.3">
      <c r="A39" s="72">
        <v>36</v>
      </c>
      <c r="B39" s="71" t="s">
        <v>309</v>
      </c>
      <c r="C39" s="73" t="s">
        <v>369</v>
      </c>
    </row>
    <row r="40" spans="1:3" ht="25.95" customHeight="1" x14ac:dyDescent="0.3">
      <c r="A40" s="70">
        <v>37</v>
      </c>
      <c r="B40" s="71" t="s">
        <v>310</v>
      </c>
      <c r="C40" s="73" t="s">
        <v>369</v>
      </c>
    </row>
    <row r="41" spans="1:3" ht="25.95" customHeight="1" x14ac:dyDescent="0.3">
      <c r="A41" s="72">
        <v>38</v>
      </c>
      <c r="B41" s="71" t="s">
        <v>311</v>
      </c>
      <c r="C41" s="73" t="s">
        <v>369</v>
      </c>
    </row>
    <row r="42" spans="1:3" ht="25.95" customHeight="1" x14ac:dyDescent="0.3">
      <c r="A42" s="70">
        <v>39</v>
      </c>
      <c r="B42" s="71" t="s">
        <v>312</v>
      </c>
      <c r="C42" s="73" t="s">
        <v>369</v>
      </c>
    </row>
    <row r="43" spans="1:3" ht="25.95" customHeight="1" x14ac:dyDescent="0.3">
      <c r="A43" s="72">
        <v>40</v>
      </c>
      <c r="B43" s="71" t="s">
        <v>313</v>
      </c>
      <c r="C43" s="74" t="s">
        <v>370</v>
      </c>
    </row>
    <row r="44" spans="1:3" ht="25.95" customHeight="1" x14ac:dyDescent="0.3">
      <c r="A44" s="70">
        <v>41</v>
      </c>
      <c r="B44" s="71" t="s">
        <v>314</v>
      </c>
      <c r="C44" s="74" t="s">
        <v>370</v>
      </c>
    </row>
    <row r="45" spans="1:3" ht="25.95" customHeight="1" x14ac:dyDescent="0.3">
      <c r="A45" s="72">
        <v>42</v>
      </c>
      <c r="B45" s="71" t="s">
        <v>315</v>
      </c>
      <c r="C45" s="74" t="s">
        <v>370</v>
      </c>
    </row>
    <row r="46" spans="1:3" ht="25.95" customHeight="1" x14ac:dyDescent="0.3">
      <c r="A46" s="70">
        <v>43</v>
      </c>
      <c r="B46" s="71" t="s">
        <v>316</v>
      </c>
      <c r="C46" s="73" t="s">
        <v>369</v>
      </c>
    </row>
    <row r="47" spans="1:3" ht="25.95" customHeight="1" x14ac:dyDescent="0.3">
      <c r="A47" s="72">
        <v>44</v>
      </c>
      <c r="B47" s="71" t="s">
        <v>317</v>
      </c>
      <c r="C47" s="73" t="s">
        <v>369</v>
      </c>
    </row>
    <row r="48" spans="1:3" ht="25.95" customHeight="1" x14ac:dyDescent="0.3">
      <c r="A48" s="70">
        <v>45</v>
      </c>
      <c r="B48" s="71" t="s">
        <v>318</v>
      </c>
      <c r="C48" s="73" t="s">
        <v>369</v>
      </c>
    </row>
    <row r="49" spans="1:3" ht="25.95" customHeight="1" x14ac:dyDescent="0.3">
      <c r="A49" s="72">
        <v>46</v>
      </c>
      <c r="B49" s="71" t="s">
        <v>319</v>
      </c>
      <c r="C49" s="73" t="s">
        <v>369</v>
      </c>
    </row>
    <row r="50" spans="1:3" ht="25.95" customHeight="1" x14ac:dyDescent="0.3">
      <c r="A50" s="70">
        <v>47</v>
      </c>
      <c r="B50" s="71" t="s">
        <v>320</v>
      </c>
      <c r="C50" s="73" t="s">
        <v>369</v>
      </c>
    </row>
    <row r="51" spans="1:3" ht="25.95" customHeight="1" x14ac:dyDescent="0.3">
      <c r="A51" s="72">
        <v>48</v>
      </c>
      <c r="B51" s="71" t="s">
        <v>321</v>
      </c>
      <c r="C51" s="73" t="s">
        <v>369</v>
      </c>
    </row>
    <row r="52" spans="1:3" ht="25.95" customHeight="1" x14ac:dyDescent="0.3">
      <c r="A52" s="70">
        <v>49</v>
      </c>
      <c r="B52" s="71" t="s">
        <v>322</v>
      </c>
      <c r="C52" s="73" t="s">
        <v>369</v>
      </c>
    </row>
    <row r="53" spans="1:3" ht="25.95" customHeight="1" x14ac:dyDescent="0.3">
      <c r="A53" s="72">
        <v>50</v>
      </c>
      <c r="B53" s="71" t="s">
        <v>323</v>
      </c>
      <c r="C53" s="73" t="s">
        <v>369</v>
      </c>
    </row>
    <row r="54" spans="1:3" ht="26.4" x14ac:dyDescent="0.3">
      <c r="A54" s="70">
        <v>51</v>
      </c>
      <c r="B54" s="71" t="s">
        <v>324</v>
      </c>
      <c r="C54" s="74" t="s">
        <v>370</v>
      </c>
    </row>
    <row r="55" spans="1:3" ht="26.4" x14ac:dyDescent="0.3">
      <c r="A55" s="72">
        <v>52</v>
      </c>
      <c r="B55" s="71" t="s">
        <v>325</v>
      </c>
      <c r="C55" s="74" t="s">
        <v>370</v>
      </c>
    </row>
    <row r="56" spans="1:3" ht="26.4" x14ac:dyDescent="0.3">
      <c r="A56" s="70">
        <v>53</v>
      </c>
      <c r="B56" s="71" t="s">
        <v>326</v>
      </c>
      <c r="C56" s="73" t="s">
        <v>369</v>
      </c>
    </row>
    <row r="57" spans="1:3" x14ac:dyDescent="0.3">
      <c r="A57" s="72">
        <v>54</v>
      </c>
      <c r="B57" s="71" t="s">
        <v>327</v>
      </c>
      <c r="C57" s="74" t="s">
        <v>370</v>
      </c>
    </row>
    <row r="58" spans="1:3" ht="26.4" x14ac:dyDescent="0.3">
      <c r="A58" s="70">
        <v>55</v>
      </c>
      <c r="B58" s="71" t="s">
        <v>328</v>
      </c>
      <c r="C58" s="73" t="s">
        <v>369</v>
      </c>
    </row>
    <row r="59" spans="1:3" ht="26.4" x14ac:dyDescent="0.3">
      <c r="A59" s="72">
        <v>56</v>
      </c>
      <c r="B59" s="71" t="s">
        <v>329</v>
      </c>
      <c r="C59" s="73" t="s">
        <v>369</v>
      </c>
    </row>
    <row r="60" spans="1:3" x14ac:dyDescent="0.3">
      <c r="A60" s="70">
        <v>57</v>
      </c>
      <c r="B60" s="71" t="s">
        <v>330</v>
      </c>
      <c r="C60" s="73" t="s">
        <v>369</v>
      </c>
    </row>
    <row r="61" spans="1:3" x14ac:dyDescent="0.3">
      <c r="A61" s="72">
        <v>58</v>
      </c>
      <c r="B61" s="71" t="s">
        <v>331</v>
      </c>
      <c r="C61" s="74" t="s">
        <v>370</v>
      </c>
    </row>
    <row r="62" spans="1:3" x14ac:dyDescent="0.3">
      <c r="A62" s="70">
        <v>59</v>
      </c>
      <c r="B62" s="71" t="s">
        <v>332</v>
      </c>
      <c r="C62" s="74" t="s">
        <v>370</v>
      </c>
    </row>
    <row r="63" spans="1:3" ht="26.4" x14ac:dyDescent="0.3">
      <c r="A63" s="72">
        <v>60</v>
      </c>
      <c r="B63" s="71" t="s">
        <v>333</v>
      </c>
      <c r="C63" s="73" t="s">
        <v>369</v>
      </c>
    </row>
    <row r="64" spans="1:3" x14ac:dyDescent="0.3">
      <c r="A64" s="70">
        <v>61</v>
      </c>
      <c r="B64" s="71" t="s">
        <v>334</v>
      </c>
      <c r="C64" s="73" t="s">
        <v>369</v>
      </c>
    </row>
    <row r="65" spans="1:3" x14ac:dyDescent="0.3">
      <c r="A65" s="72">
        <v>62</v>
      </c>
      <c r="B65" s="71" t="s">
        <v>335</v>
      </c>
      <c r="C65" s="73" t="s">
        <v>369</v>
      </c>
    </row>
    <row r="66" spans="1:3" ht="26.4" x14ac:dyDescent="0.3">
      <c r="A66" s="70">
        <v>63</v>
      </c>
      <c r="B66" s="71" t="s">
        <v>336</v>
      </c>
      <c r="C66" s="74" t="s">
        <v>370</v>
      </c>
    </row>
    <row r="67" spans="1:3" ht="26.4" x14ac:dyDescent="0.3">
      <c r="A67" s="72">
        <v>64</v>
      </c>
      <c r="B67" s="71" t="s">
        <v>337</v>
      </c>
      <c r="C67" s="73" t="s">
        <v>369</v>
      </c>
    </row>
    <row r="68" spans="1:3" ht="26.4" x14ac:dyDescent="0.3">
      <c r="A68" s="70">
        <v>65</v>
      </c>
      <c r="B68" s="71" t="s">
        <v>338</v>
      </c>
      <c r="C68" s="73" t="s">
        <v>369</v>
      </c>
    </row>
    <row r="69" spans="1:3" ht="26.4" x14ac:dyDescent="0.3">
      <c r="A69" s="72">
        <v>66</v>
      </c>
      <c r="B69" s="71" t="s">
        <v>339</v>
      </c>
      <c r="C69" s="73" t="s">
        <v>369</v>
      </c>
    </row>
    <row r="70" spans="1:3" ht="26.4" x14ac:dyDescent="0.3">
      <c r="A70" s="70">
        <v>67</v>
      </c>
      <c r="B70" s="71" t="s">
        <v>340</v>
      </c>
      <c r="C70" s="73" t="s">
        <v>369</v>
      </c>
    </row>
    <row r="71" spans="1:3" ht="26.4" x14ac:dyDescent="0.3">
      <c r="A71" s="72">
        <v>68</v>
      </c>
      <c r="B71" s="71" t="s">
        <v>341</v>
      </c>
      <c r="C71" s="73" t="s">
        <v>369</v>
      </c>
    </row>
    <row r="72" spans="1:3" ht="26.4" x14ac:dyDescent="0.3">
      <c r="A72" s="70">
        <v>69</v>
      </c>
      <c r="B72" s="71" t="s">
        <v>342</v>
      </c>
      <c r="C72" s="73" t="s">
        <v>369</v>
      </c>
    </row>
    <row r="73" spans="1:3" x14ac:dyDescent="0.3">
      <c r="A73" s="72">
        <v>70</v>
      </c>
      <c r="B73" s="71" t="s">
        <v>343</v>
      </c>
      <c r="C73" s="74" t="s">
        <v>370</v>
      </c>
    </row>
    <row r="74" spans="1:3" x14ac:dyDescent="0.3">
      <c r="A74" s="70">
        <v>71</v>
      </c>
      <c r="B74" s="71" t="s">
        <v>344</v>
      </c>
      <c r="C74" s="74" t="s">
        <v>370</v>
      </c>
    </row>
    <row r="75" spans="1:3" ht="26.4" x14ac:dyDescent="0.3">
      <c r="A75" s="72">
        <v>72</v>
      </c>
      <c r="B75" s="71" t="s">
        <v>345</v>
      </c>
      <c r="C75" s="74" t="s">
        <v>370</v>
      </c>
    </row>
    <row r="76" spans="1:3" ht="26.4" x14ac:dyDescent="0.3">
      <c r="A76" s="70">
        <v>73</v>
      </c>
      <c r="B76" s="71" t="s">
        <v>346</v>
      </c>
      <c r="C76" s="73" t="s">
        <v>369</v>
      </c>
    </row>
    <row r="77" spans="1:3" x14ac:dyDescent="0.3">
      <c r="A77" s="72">
        <v>74</v>
      </c>
      <c r="B77" s="71" t="s">
        <v>347</v>
      </c>
      <c r="C77" s="73" t="s">
        <v>369</v>
      </c>
    </row>
    <row r="78" spans="1:3" ht="26.4" x14ac:dyDescent="0.3">
      <c r="A78" s="70">
        <v>75</v>
      </c>
      <c r="B78" s="71" t="s">
        <v>348</v>
      </c>
      <c r="C78" s="74" t="s">
        <v>370</v>
      </c>
    </row>
    <row r="79" spans="1:3" ht="26.4" x14ac:dyDescent="0.3">
      <c r="A79" s="72">
        <v>76</v>
      </c>
      <c r="B79" s="71" t="s">
        <v>349</v>
      </c>
      <c r="C79" s="73" t="s">
        <v>369</v>
      </c>
    </row>
    <row r="80" spans="1:3" ht="26.4" x14ac:dyDescent="0.3">
      <c r="A80" s="70">
        <v>77</v>
      </c>
      <c r="B80" s="71" t="s">
        <v>350</v>
      </c>
      <c r="C80" s="73" t="s">
        <v>369</v>
      </c>
    </row>
    <row r="81" spans="1:3" ht="26.4" x14ac:dyDescent="0.3">
      <c r="A81" s="72">
        <v>78</v>
      </c>
      <c r="B81" s="71" t="s">
        <v>351</v>
      </c>
      <c r="C81" s="74" t="s">
        <v>370</v>
      </c>
    </row>
    <row r="82" spans="1:3" x14ac:dyDescent="0.3">
      <c r="A82" s="70">
        <v>79</v>
      </c>
      <c r="B82" s="71" t="s">
        <v>352</v>
      </c>
      <c r="C82" s="74" t="s">
        <v>370</v>
      </c>
    </row>
    <row r="83" spans="1:3" ht="26.4" x14ac:dyDescent="0.3">
      <c r="A83" s="72">
        <v>80</v>
      </c>
      <c r="B83" s="71" t="s">
        <v>353</v>
      </c>
      <c r="C83" s="73" t="s">
        <v>369</v>
      </c>
    </row>
    <row r="84" spans="1:3" ht="26.4" x14ac:dyDescent="0.3">
      <c r="A84" s="70">
        <v>81</v>
      </c>
      <c r="B84" s="71" t="s">
        <v>354</v>
      </c>
      <c r="C84" s="73" t="s">
        <v>369</v>
      </c>
    </row>
    <row r="85" spans="1:3" ht="26.4" x14ac:dyDescent="0.3">
      <c r="A85" s="72">
        <v>82</v>
      </c>
      <c r="B85" s="71" t="s">
        <v>355</v>
      </c>
      <c r="C85" s="73" t="s">
        <v>369</v>
      </c>
    </row>
    <row r="86" spans="1:3" ht="26.4" x14ac:dyDescent="0.3">
      <c r="A86" s="70">
        <v>83</v>
      </c>
      <c r="B86" s="71" t="s">
        <v>356</v>
      </c>
      <c r="C86" s="73" t="s">
        <v>369</v>
      </c>
    </row>
    <row r="87" spans="1:3" ht="26.4" x14ac:dyDescent="0.3">
      <c r="A87" s="72">
        <v>84</v>
      </c>
      <c r="B87" s="71" t="s">
        <v>357</v>
      </c>
      <c r="C87" s="74" t="s">
        <v>370</v>
      </c>
    </row>
    <row r="88" spans="1:3" ht="26.4" x14ac:dyDescent="0.3">
      <c r="A88" s="70">
        <v>85</v>
      </c>
      <c r="B88" s="71" t="s">
        <v>358</v>
      </c>
      <c r="C88" s="73" t="s">
        <v>369</v>
      </c>
    </row>
    <row r="89" spans="1:3" x14ac:dyDescent="0.3">
      <c r="A89" s="72">
        <v>86</v>
      </c>
      <c r="B89" s="71" t="s">
        <v>359</v>
      </c>
      <c r="C89" s="73" t="s">
        <v>369</v>
      </c>
    </row>
    <row r="90" spans="1:3" x14ac:dyDescent="0.3">
      <c r="A90" s="70">
        <v>87</v>
      </c>
      <c r="B90" s="71" t="s">
        <v>360</v>
      </c>
      <c r="C90" s="74" t="s">
        <v>370</v>
      </c>
    </row>
    <row r="91" spans="1:3" ht="26.4" x14ac:dyDescent="0.3">
      <c r="A91" s="72">
        <v>88</v>
      </c>
      <c r="B91" s="71" t="s">
        <v>361</v>
      </c>
      <c r="C91" s="74" t="s">
        <v>370</v>
      </c>
    </row>
    <row r="92" spans="1:3" ht="26.4" x14ac:dyDescent="0.3">
      <c r="A92" s="70">
        <v>89</v>
      </c>
      <c r="B92" s="71" t="s">
        <v>362</v>
      </c>
      <c r="C92" s="73" t="s">
        <v>369</v>
      </c>
    </row>
    <row r="93" spans="1:3" x14ac:dyDescent="0.3">
      <c r="A93" s="72">
        <v>90</v>
      </c>
      <c r="B93" s="71" t="s">
        <v>363</v>
      </c>
      <c r="C93" s="73" t="s">
        <v>369</v>
      </c>
    </row>
    <row r="94" spans="1:3" ht="26.4" x14ac:dyDescent="0.3">
      <c r="A94" s="70">
        <v>91</v>
      </c>
      <c r="B94" s="71" t="s">
        <v>364</v>
      </c>
      <c r="C94" s="73" t="s">
        <v>369</v>
      </c>
    </row>
    <row r="95" spans="1:3" ht="26.4" x14ac:dyDescent="0.3">
      <c r="A95" s="72">
        <v>92</v>
      </c>
      <c r="B95" s="71" t="s">
        <v>365</v>
      </c>
      <c r="C95" s="73" t="s">
        <v>369</v>
      </c>
    </row>
    <row r="96" spans="1:3" x14ac:dyDescent="0.3">
      <c r="A96" s="70">
        <v>93</v>
      </c>
      <c r="B96" s="71" t="s">
        <v>366</v>
      </c>
      <c r="C96" s="73" t="s">
        <v>369</v>
      </c>
    </row>
    <row r="97" spans="1:3" x14ac:dyDescent="0.3">
      <c r="A97" s="72">
        <v>94</v>
      </c>
      <c r="B97" s="71" t="s">
        <v>367</v>
      </c>
      <c r="C97" s="74" t="s">
        <v>370</v>
      </c>
    </row>
    <row r="98" spans="1:3" x14ac:dyDescent="0.3">
      <c r="A98" s="70">
        <v>95</v>
      </c>
      <c r="B98" s="71" t="s">
        <v>368</v>
      </c>
      <c r="C98" s="73" t="s">
        <v>369</v>
      </c>
    </row>
    <row r="99" spans="1:3" x14ac:dyDescent="0.3">
      <c r="A99" s="146" t="s">
        <v>371</v>
      </c>
      <c r="B99" s="146"/>
      <c r="C99" s="75">
        <f>COUNTIF(C4:C98,"YES")</f>
        <v>67</v>
      </c>
    </row>
    <row r="100" spans="1:3" x14ac:dyDescent="0.3">
      <c r="A100" s="152" t="s">
        <v>372</v>
      </c>
      <c r="B100" s="141"/>
      <c r="C100" s="141"/>
    </row>
    <row r="101" spans="1:3" ht="26.4" x14ac:dyDescent="0.3">
      <c r="A101" s="78" t="s">
        <v>141</v>
      </c>
      <c r="B101" s="78" t="s">
        <v>174</v>
      </c>
      <c r="C101" s="78" t="s">
        <v>208</v>
      </c>
    </row>
    <row r="102" spans="1:3" ht="38.4" customHeight="1" x14ac:dyDescent="0.3">
      <c r="A102" s="70">
        <v>1</v>
      </c>
      <c r="B102" s="79" t="s">
        <v>373</v>
      </c>
      <c r="C102" s="73" t="s">
        <v>369</v>
      </c>
    </row>
    <row r="103" spans="1:3" x14ac:dyDescent="0.3">
      <c r="A103" s="146" t="s">
        <v>374</v>
      </c>
      <c r="B103" s="146"/>
      <c r="C103" s="75">
        <f>COUNTIF(C102,"YES")</f>
        <v>1</v>
      </c>
    </row>
    <row r="104" spans="1:3" x14ac:dyDescent="0.3">
      <c r="A104" s="152" t="s">
        <v>375</v>
      </c>
      <c r="B104" s="141"/>
      <c r="C104" s="141"/>
    </row>
    <row r="105" spans="1:3" ht="26.4" x14ac:dyDescent="0.3">
      <c r="A105" s="78" t="s">
        <v>141</v>
      </c>
      <c r="B105" s="78" t="s">
        <v>174</v>
      </c>
      <c r="C105" s="78" t="s">
        <v>208</v>
      </c>
    </row>
    <row r="106" spans="1:3" ht="26.4" x14ac:dyDescent="0.3">
      <c r="A106" s="70">
        <v>1</v>
      </c>
      <c r="B106" s="71" t="s">
        <v>376</v>
      </c>
      <c r="C106" s="73" t="s">
        <v>369</v>
      </c>
    </row>
    <row r="107" spans="1:3" x14ac:dyDescent="0.3">
      <c r="A107" s="72">
        <v>2</v>
      </c>
      <c r="B107" s="71" t="s">
        <v>377</v>
      </c>
      <c r="C107" s="73" t="s">
        <v>369</v>
      </c>
    </row>
    <row r="108" spans="1:3" x14ac:dyDescent="0.3">
      <c r="A108" s="70">
        <v>3</v>
      </c>
      <c r="B108" s="71" t="s">
        <v>279</v>
      </c>
      <c r="C108" s="74" t="s">
        <v>370</v>
      </c>
    </row>
    <row r="109" spans="1:3" x14ac:dyDescent="0.3">
      <c r="A109" s="72">
        <v>4</v>
      </c>
      <c r="B109" s="71" t="s">
        <v>378</v>
      </c>
      <c r="C109" s="73" t="s">
        <v>369</v>
      </c>
    </row>
    <row r="110" spans="1:3" x14ac:dyDescent="0.3">
      <c r="A110" s="70">
        <v>5</v>
      </c>
      <c r="B110" s="71" t="s">
        <v>287</v>
      </c>
      <c r="C110" s="73" t="s">
        <v>369</v>
      </c>
    </row>
    <row r="111" spans="1:3" ht="26.4" x14ac:dyDescent="0.3">
      <c r="A111" s="72">
        <v>6</v>
      </c>
      <c r="B111" s="71" t="s">
        <v>379</v>
      </c>
      <c r="C111" s="73" t="s">
        <v>369</v>
      </c>
    </row>
    <row r="112" spans="1:3" ht="26.4" x14ac:dyDescent="0.3">
      <c r="A112" s="70">
        <v>7</v>
      </c>
      <c r="B112" s="71" t="s">
        <v>304</v>
      </c>
      <c r="C112" s="73" t="s">
        <v>369</v>
      </c>
    </row>
    <row r="113" spans="1:3" ht="26.4" x14ac:dyDescent="0.3">
      <c r="A113" s="72">
        <v>8</v>
      </c>
      <c r="B113" s="71" t="s">
        <v>305</v>
      </c>
      <c r="C113" s="73" t="s">
        <v>369</v>
      </c>
    </row>
    <row r="114" spans="1:3" ht="26.4" x14ac:dyDescent="0.3">
      <c r="A114" s="70">
        <v>9</v>
      </c>
      <c r="B114" s="71" t="s">
        <v>309</v>
      </c>
      <c r="C114" s="73" t="s">
        <v>369</v>
      </c>
    </row>
    <row r="115" spans="1:3" ht="26.4" x14ac:dyDescent="0.3">
      <c r="A115" s="72">
        <v>10</v>
      </c>
      <c r="B115" s="71" t="s">
        <v>380</v>
      </c>
      <c r="C115" s="73" t="s">
        <v>369</v>
      </c>
    </row>
    <row r="116" spans="1:3" x14ac:dyDescent="0.3">
      <c r="A116" s="70">
        <v>11</v>
      </c>
      <c r="B116" s="71" t="s">
        <v>314</v>
      </c>
      <c r="C116" s="74" t="s">
        <v>370</v>
      </c>
    </row>
    <row r="117" spans="1:3" x14ac:dyDescent="0.3">
      <c r="A117" s="72">
        <v>12</v>
      </c>
      <c r="B117" s="71" t="s">
        <v>381</v>
      </c>
      <c r="C117" s="73" t="s">
        <v>369</v>
      </c>
    </row>
    <row r="118" spans="1:3" ht="26.4" x14ac:dyDescent="0.3">
      <c r="A118" s="70">
        <v>13</v>
      </c>
      <c r="B118" s="71" t="s">
        <v>325</v>
      </c>
      <c r="C118" s="74" t="s">
        <v>370</v>
      </c>
    </row>
    <row r="119" spans="1:3" x14ac:dyDescent="0.3">
      <c r="A119" s="72">
        <v>14</v>
      </c>
      <c r="B119" s="71" t="s">
        <v>382</v>
      </c>
      <c r="C119" s="73" t="s">
        <v>369</v>
      </c>
    </row>
    <row r="120" spans="1:3" ht="26.4" x14ac:dyDescent="0.3">
      <c r="A120" s="70">
        <v>15</v>
      </c>
      <c r="B120" s="71" t="s">
        <v>341</v>
      </c>
      <c r="C120" s="73" t="s">
        <v>369</v>
      </c>
    </row>
    <row r="121" spans="1:3" x14ac:dyDescent="0.3">
      <c r="A121" s="72">
        <v>16</v>
      </c>
      <c r="B121" s="71" t="s">
        <v>343</v>
      </c>
      <c r="C121" s="74" t="s">
        <v>370</v>
      </c>
    </row>
    <row r="122" spans="1:3" x14ac:dyDescent="0.3">
      <c r="A122" s="70">
        <v>17</v>
      </c>
      <c r="B122" s="71" t="s">
        <v>347</v>
      </c>
      <c r="C122" s="73" t="s">
        <v>369</v>
      </c>
    </row>
    <row r="123" spans="1:3" ht="26.4" x14ac:dyDescent="0.3">
      <c r="A123" s="72">
        <v>18</v>
      </c>
      <c r="B123" s="71" t="s">
        <v>383</v>
      </c>
      <c r="C123" s="74" t="s">
        <v>370</v>
      </c>
    </row>
    <row r="124" spans="1:3" x14ac:dyDescent="0.3">
      <c r="A124" s="70">
        <v>19</v>
      </c>
      <c r="B124" s="71" t="s">
        <v>352</v>
      </c>
      <c r="C124" s="74" t="s">
        <v>370</v>
      </c>
    </row>
    <row r="125" spans="1:3" ht="26.4" x14ac:dyDescent="0.3">
      <c r="A125" s="72">
        <v>20</v>
      </c>
      <c r="B125" s="71" t="s">
        <v>384</v>
      </c>
      <c r="C125" s="73" t="s">
        <v>369</v>
      </c>
    </row>
    <row r="126" spans="1:3" ht="26.4" x14ac:dyDescent="0.3">
      <c r="A126" s="70">
        <v>21</v>
      </c>
      <c r="B126" s="71" t="s">
        <v>358</v>
      </c>
      <c r="C126" s="73" t="s">
        <v>369</v>
      </c>
    </row>
    <row r="127" spans="1:3" x14ac:dyDescent="0.3">
      <c r="A127" s="72">
        <v>22</v>
      </c>
      <c r="B127" s="71" t="s">
        <v>385</v>
      </c>
      <c r="C127" s="73" t="s">
        <v>369</v>
      </c>
    </row>
    <row r="128" spans="1:3" x14ac:dyDescent="0.3">
      <c r="A128" s="70">
        <v>23</v>
      </c>
      <c r="B128" s="71" t="s">
        <v>368</v>
      </c>
      <c r="C128" s="73" t="s">
        <v>369</v>
      </c>
    </row>
    <row r="129" spans="1:3" x14ac:dyDescent="0.3">
      <c r="A129" s="146" t="s">
        <v>386</v>
      </c>
      <c r="B129" s="146"/>
      <c r="C129" s="75">
        <f>COUNTIF(C106:C128,"YES")</f>
        <v>17</v>
      </c>
    </row>
    <row r="130" spans="1:3" x14ac:dyDescent="0.3">
      <c r="A130" s="150" t="s">
        <v>375</v>
      </c>
      <c r="B130" s="151"/>
      <c r="C130" s="151"/>
    </row>
    <row r="131" spans="1:3" ht="26.4" x14ac:dyDescent="0.3">
      <c r="A131" s="78" t="s">
        <v>141</v>
      </c>
      <c r="B131" s="78" t="s">
        <v>174</v>
      </c>
      <c r="C131" s="78" t="s">
        <v>208</v>
      </c>
    </row>
    <row r="132" spans="1:3" x14ac:dyDescent="0.3">
      <c r="A132" s="70">
        <v>1</v>
      </c>
      <c r="B132" s="71" t="s">
        <v>387</v>
      </c>
      <c r="C132" s="74" t="s">
        <v>370</v>
      </c>
    </row>
    <row r="133" spans="1:3" x14ac:dyDescent="0.3">
      <c r="A133" s="72">
        <v>2</v>
      </c>
      <c r="B133" s="71" t="s">
        <v>388</v>
      </c>
      <c r="C133" s="73" t="s">
        <v>369</v>
      </c>
    </row>
    <row r="134" spans="1:3" x14ac:dyDescent="0.3">
      <c r="A134" s="70">
        <v>3</v>
      </c>
      <c r="B134" s="71" t="s">
        <v>389</v>
      </c>
      <c r="C134" s="74" t="s">
        <v>370</v>
      </c>
    </row>
    <row r="135" spans="1:3" ht="26.4" x14ac:dyDescent="0.3">
      <c r="A135" s="72">
        <v>4</v>
      </c>
      <c r="B135" s="71" t="s">
        <v>390</v>
      </c>
      <c r="C135" s="74" t="s">
        <v>370</v>
      </c>
    </row>
    <row r="136" spans="1:3" ht="26.4" x14ac:dyDescent="0.3">
      <c r="A136" s="70">
        <v>5</v>
      </c>
      <c r="B136" s="71" t="s">
        <v>391</v>
      </c>
      <c r="C136" s="74" t="s">
        <v>370</v>
      </c>
    </row>
    <row r="137" spans="1:3" x14ac:dyDescent="0.3">
      <c r="A137" s="72">
        <v>6</v>
      </c>
      <c r="B137" s="71" t="s">
        <v>392</v>
      </c>
      <c r="C137" s="74" t="s">
        <v>370</v>
      </c>
    </row>
    <row r="138" spans="1:3" x14ac:dyDescent="0.3">
      <c r="A138" s="146" t="s">
        <v>393</v>
      </c>
      <c r="B138" s="146"/>
      <c r="C138" s="75">
        <f>COUNTIF(C132:C137,"YES")</f>
        <v>1</v>
      </c>
    </row>
  </sheetData>
  <mergeCells count="9">
    <mergeCell ref="A129:B129"/>
    <mergeCell ref="A130:C130"/>
    <mergeCell ref="A138:B138"/>
    <mergeCell ref="A2:C2"/>
    <mergeCell ref="A1:C1"/>
    <mergeCell ref="A99:B99"/>
    <mergeCell ref="A100:C100"/>
    <mergeCell ref="A103:B103"/>
    <mergeCell ref="A104:C104"/>
  </mergeCells>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C60"/>
  <sheetViews>
    <sheetView topLeftCell="A40" workbookViewId="0">
      <selection activeCell="D37" sqref="D37"/>
    </sheetView>
  </sheetViews>
  <sheetFormatPr defaultRowHeight="14.4" x14ac:dyDescent="0.3"/>
  <cols>
    <col min="1" max="1" width="5" customWidth="1"/>
    <col min="2" max="2" width="58" customWidth="1"/>
    <col min="3" max="3" width="14" customWidth="1"/>
  </cols>
  <sheetData>
    <row r="1" spans="1:3" ht="28.05" customHeight="1" x14ac:dyDescent="0.3">
      <c r="A1" s="153" t="s">
        <v>655</v>
      </c>
      <c r="B1" s="141"/>
      <c r="C1" s="141"/>
    </row>
    <row r="2" spans="1:3" ht="30" customHeight="1" x14ac:dyDescent="0.3">
      <c r="A2" s="150" t="s">
        <v>645</v>
      </c>
      <c r="B2" s="151"/>
      <c r="C2" s="151"/>
    </row>
    <row r="3" spans="1:3" ht="25.95" customHeight="1" x14ac:dyDescent="0.3">
      <c r="A3" s="60" t="s">
        <v>141</v>
      </c>
      <c r="B3" s="60" t="s">
        <v>174</v>
      </c>
      <c r="C3" s="92" t="s">
        <v>405</v>
      </c>
    </row>
    <row r="4" spans="1:3" ht="25.95" customHeight="1" x14ac:dyDescent="0.3">
      <c r="A4" s="10">
        <v>1</v>
      </c>
      <c r="B4" s="71" t="s">
        <v>623</v>
      </c>
      <c r="C4" s="73" t="s">
        <v>370</v>
      </c>
    </row>
    <row r="5" spans="1:3" ht="25.95" customHeight="1" x14ac:dyDescent="0.3">
      <c r="A5" s="12">
        <v>2</v>
      </c>
      <c r="B5" s="88" t="s">
        <v>624</v>
      </c>
      <c r="C5" s="73" t="s">
        <v>370</v>
      </c>
    </row>
    <row r="6" spans="1:3" ht="25.95" customHeight="1" x14ac:dyDescent="0.3">
      <c r="A6" s="154" t="s">
        <v>396</v>
      </c>
      <c r="B6" s="154"/>
      <c r="C6" s="87">
        <f>COUNTIF(C4:C5,"YES")</f>
        <v>0</v>
      </c>
    </row>
    <row r="7" spans="1:3" ht="25.95" customHeight="1" x14ac:dyDescent="0.3">
      <c r="A7" s="150" t="s">
        <v>646</v>
      </c>
      <c r="B7" s="151"/>
      <c r="C7" s="151"/>
    </row>
    <row r="8" spans="1:3" ht="25.95" customHeight="1" x14ac:dyDescent="0.3">
      <c r="A8" s="93" t="s">
        <v>141</v>
      </c>
      <c r="B8" s="93" t="s">
        <v>174</v>
      </c>
      <c r="C8" s="93" t="s">
        <v>405</v>
      </c>
    </row>
    <row r="9" spans="1:3" ht="25.95" customHeight="1" x14ac:dyDescent="0.3">
      <c r="A9" s="12">
        <v>1</v>
      </c>
      <c r="B9" s="71" t="s">
        <v>376</v>
      </c>
      <c r="C9" s="73" t="s">
        <v>370</v>
      </c>
    </row>
    <row r="10" spans="1:3" ht="25.95" customHeight="1" x14ac:dyDescent="0.3">
      <c r="A10" s="10">
        <v>2</v>
      </c>
      <c r="B10" s="88" t="s">
        <v>377</v>
      </c>
      <c r="C10" s="73" t="s">
        <v>370</v>
      </c>
    </row>
    <row r="11" spans="1:3" ht="25.95" customHeight="1" x14ac:dyDescent="0.3">
      <c r="A11" s="12">
        <v>3</v>
      </c>
      <c r="B11" s="71" t="s">
        <v>279</v>
      </c>
      <c r="C11" s="73" t="s">
        <v>370</v>
      </c>
    </row>
    <row r="12" spans="1:3" ht="25.95" customHeight="1" x14ac:dyDescent="0.3">
      <c r="A12" s="10">
        <v>4</v>
      </c>
      <c r="B12" s="88" t="s">
        <v>284</v>
      </c>
      <c r="C12" s="73" t="s">
        <v>370</v>
      </c>
    </row>
    <row r="13" spans="1:3" ht="25.95" customHeight="1" x14ac:dyDescent="0.3">
      <c r="A13" s="12">
        <v>5</v>
      </c>
      <c r="B13" s="71" t="s">
        <v>625</v>
      </c>
      <c r="C13" s="73" t="s">
        <v>370</v>
      </c>
    </row>
    <row r="14" spans="1:3" ht="25.95" customHeight="1" x14ac:dyDescent="0.3">
      <c r="A14" s="10">
        <v>6</v>
      </c>
      <c r="B14" s="88" t="s">
        <v>379</v>
      </c>
      <c r="C14" s="73" t="s">
        <v>370</v>
      </c>
    </row>
    <row r="15" spans="1:3" ht="25.95" customHeight="1" x14ac:dyDescent="0.3">
      <c r="A15" s="12">
        <v>7</v>
      </c>
      <c r="B15" s="71" t="s">
        <v>305</v>
      </c>
      <c r="C15" s="73" t="s">
        <v>370</v>
      </c>
    </row>
    <row r="16" spans="1:3" ht="25.95" customHeight="1" x14ac:dyDescent="0.3">
      <c r="A16" s="10">
        <v>8</v>
      </c>
      <c r="B16" s="88" t="s">
        <v>380</v>
      </c>
      <c r="C16" s="73" t="s">
        <v>370</v>
      </c>
    </row>
    <row r="17" spans="1:3" ht="25.95" customHeight="1" x14ac:dyDescent="0.3">
      <c r="A17" s="12">
        <v>9</v>
      </c>
      <c r="B17" s="71" t="s">
        <v>314</v>
      </c>
      <c r="C17" s="73" t="s">
        <v>370</v>
      </c>
    </row>
    <row r="18" spans="1:3" ht="25.95" customHeight="1" x14ac:dyDescent="0.3">
      <c r="A18" s="10">
        <v>10</v>
      </c>
      <c r="B18" s="88" t="s">
        <v>318</v>
      </c>
      <c r="C18" s="73" t="s">
        <v>370</v>
      </c>
    </row>
    <row r="19" spans="1:3" ht="25.95" customHeight="1" x14ac:dyDescent="0.3">
      <c r="A19" s="12">
        <v>11</v>
      </c>
      <c r="B19" s="71" t="s">
        <v>325</v>
      </c>
      <c r="C19" s="73" t="s">
        <v>370</v>
      </c>
    </row>
    <row r="20" spans="1:3" ht="25.95" customHeight="1" x14ac:dyDescent="0.3">
      <c r="A20" s="10">
        <v>12</v>
      </c>
      <c r="B20" s="88" t="s">
        <v>382</v>
      </c>
      <c r="C20" s="73" t="s">
        <v>370</v>
      </c>
    </row>
    <row r="21" spans="1:3" ht="25.95" customHeight="1" x14ac:dyDescent="0.3">
      <c r="A21" s="12">
        <v>13</v>
      </c>
      <c r="B21" s="71" t="s">
        <v>341</v>
      </c>
      <c r="C21" s="73" t="s">
        <v>370</v>
      </c>
    </row>
    <row r="22" spans="1:3" ht="25.95" customHeight="1" x14ac:dyDescent="0.3">
      <c r="A22" s="10">
        <v>14</v>
      </c>
      <c r="B22" s="88" t="s">
        <v>343</v>
      </c>
      <c r="C22" s="73" t="s">
        <v>370</v>
      </c>
    </row>
    <row r="23" spans="1:3" ht="25.95" customHeight="1" x14ac:dyDescent="0.3">
      <c r="A23" s="12">
        <v>15</v>
      </c>
      <c r="B23" s="71" t="s">
        <v>304</v>
      </c>
      <c r="C23" s="73" t="s">
        <v>370</v>
      </c>
    </row>
    <row r="24" spans="1:3" ht="25.95" customHeight="1" x14ac:dyDescent="0.3">
      <c r="A24" s="10">
        <v>16</v>
      </c>
      <c r="B24" s="88" t="s">
        <v>347</v>
      </c>
      <c r="C24" s="73" t="s">
        <v>370</v>
      </c>
    </row>
    <row r="25" spans="1:3" ht="25.95" customHeight="1" x14ac:dyDescent="0.3">
      <c r="A25" s="12">
        <v>17</v>
      </c>
      <c r="B25" s="71" t="s">
        <v>383</v>
      </c>
      <c r="C25" s="73" t="s">
        <v>370</v>
      </c>
    </row>
    <row r="26" spans="1:3" ht="25.95" customHeight="1" x14ac:dyDescent="0.3">
      <c r="A26" s="10">
        <v>18</v>
      </c>
      <c r="B26" s="88" t="s">
        <v>352</v>
      </c>
      <c r="C26" s="73" t="s">
        <v>370</v>
      </c>
    </row>
    <row r="27" spans="1:3" ht="25.95" customHeight="1" x14ac:dyDescent="0.3">
      <c r="A27" s="12">
        <v>19</v>
      </c>
      <c r="B27" s="71" t="s">
        <v>384</v>
      </c>
      <c r="C27" s="73" t="s">
        <v>370</v>
      </c>
    </row>
    <row r="28" spans="1:3" ht="25.95" customHeight="1" x14ac:dyDescent="0.3">
      <c r="A28" s="12">
        <v>20</v>
      </c>
      <c r="B28" s="88" t="s">
        <v>626</v>
      </c>
      <c r="C28" s="73" t="s">
        <v>370</v>
      </c>
    </row>
    <row r="29" spans="1:3" ht="25.95" customHeight="1" x14ac:dyDescent="0.3">
      <c r="A29" s="10">
        <v>21</v>
      </c>
      <c r="B29" s="71" t="s">
        <v>358</v>
      </c>
      <c r="C29" s="73" t="s">
        <v>370</v>
      </c>
    </row>
    <row r="30" spans="1:3" ht="25.95" customHeight="1" x14ac:dyDescent="0.3">
      <c r="A30" s="12">
        <v>22</v>
      </c>
      <c r="B30" s="88" t="s">
        <v>627</v>
      </c>
      <c r="C30" s="73" t="s">
        <v>370</v>
      </c>
    </row>
    <row r="31" spans="1:3" ht="25.95" customHeight="1" x14ac:dyDescent="0.3">
      <c r="A31" s="10">
        <v>23</v>
      </c>
      <c r="B31" s="71" t="s">
        <v>309</v>
      </c>
      <c r="C31" s="73" t="s">
        <v>370</v>
      </c>
    </row>
    <row r="32" spans="1:3" ht="25.95" customHeight="1" x14ac:dyDescent="0.3">
      <c r="A32" s="12">
        <v>24</v>
      </c>
      <c r="B32" s="88" t="s">
        <v>368</v>
      </c>
      <c r="C32" s="73" t="s">
        <v>370</v>
      </c>
    </row>
    <row r="33" spans="1:3" ht="25.95" customHeight="1" x14ac:dyDescent="0.3">
      <c r="A33" s="154" t="s">
        <v>644</v>
      </c>
      <c r="B33" s="154"/>
      <c r="C33" s="87">
        <f>COUNTIF(C9:C32,"YES")</f>
        <v>0</v>
      </c>
    </row>
    <row r="34" spans="1:3" ht="25.95" customHeight="1" x14ac:dyDescent="0.3">
      <c r="A34" s="150" t="s">
        <v>647</v>
      </c>
      <c r="B34" s="151"/>
      <c r="C34" s="151"/>
    </row>
    <row r="35" spans="1:3" ht="25.95" customHeight="1" x14ac:dyDescent="0.3">
      <c r="A35" s="93" t="s">
        <v>141</v>
      </c>
      <c r="B35" s="93" t="s">
        <v>174</v>
      </c>
      <c r="C35" s="93" t="s">
        <v>405</v>
      </c>
    </row>
    <row r="36" spans="1:3" ht="25.95" customHeight="1" x14ac:dyDescent="0.3">
      <c r="A36" s="10">
        <v>1</v>
      </c>
      <c r="B36" s="89" t="s">
        <v>390</v>
      </c>
      <c r="C36" s="90" t="s">
        <v>369</v>
      </c>
    </row>
    <row r="37" spans="1:3" ht="25.95" customHeight="1" x14ac:dyDescent="0.3">
      <c r="A37" s="154" t="s">
        <v>374</v>
      </c>
      <c r="B37" s="154"/>
      <c r="C37" s="87">
        <f>COUNTIF(C36,"YES")</f>
        <v>1</v>
      </c>
    </row>
    <row r="38" spans="1:3" ht="25.95" customHeight="1" x14ac:dyDescent="0.3">
      <c r="A38" s="150" t="s">
        <v>648</v>
      </c>
      <c r="B38" s="151"/>
      <c r="C38" s="151"/>
    </row>
    <row r="39" spans="1:3" ht="25.95" customHeight="1" x14ac:dyDescent="0.3">
      <c r="A39" s="93" t="s">
        <v>141</v>
      </c>
      <c r="B39" s="93" t="s">
        <v>174</v>
      </c>
      <c r="C39" s="93" t="s">
        <v>405</v>
      </c>
    </row>
    <row r="40" spans="1:3" ht="25.95" customHeight="1" x14ac:dyDescent="0.3">
      <c r="A40" s="10">
        <v>1</v>
      </c>
      <c r="B40" s="89" t="s">
        <v>628</v>
      </c>
      <c r="C40" s="90" t="s">
        <v>369</v>
      </c>
    </row>
    <row r="41" spans="1:3" ht="25.95" customHeight="1" x14ac:dyDescent="0.3">
      <c r="A41" s="12">
        <v>2</v>
      </c>
      <c r="B41" s="89" t="s">
        <v>629</v>
      </c>
      <c r="C41" s="90" t="s">
        <v>369</v>
      </c>
    </row>
    <row r="42" spans="1:3" ht="25.95" customHeight="1" x14ac:dyDescent="0.3">
      <c r="A42" s="154" t="s">
        <v>396</v>
      </c>
      <c r="B42" s="154"/>
      <c r="C42" s="87">
        <f>COUNTIF(C40:C41,"YES")</f>
        <v>2</v>
      </c>
    </row>
    <row r="43" spans="1:3" ht="25.95" customHeight="1" x14ac:dyDescent="0.3">
      <c r="A43" s="150" t="s">
        <v>574</v>
      </c>
      <c r="B43" s="151"/>
      <c r="C43" s="151"/>
    </row>
    <row r="44" spans="1:3" ht="25.95" customHeight="1" x14ac:dyDescent="0.3">
      <c r="A44" s="93" t="s">
        <v>141</v>
      </c>
      <c r="B44" s="93" t="s">
        <v>174</v>
      </c>
      <c r="C44" s="93" t="s">
        <v>405</v>
      </c>
    </row>
    <row r="45" spans="1:3" ht="25.95" customHeight="1" x14ac:dyDescent="0.3">
      <c r="A45" s="12">
        <v>1</v>
      </c>
      <c r="B45" s="89" t="s">
        <v>630</v>
      </c>
      <c r="C45" s="90" t="s">
        <v>369</v>
      </c>
    </row>
    <row r="46" spans="1:3" ht="25.95" customHeight="1" x14ac:dyDescent="0.3">
      <c r="A46" s="10">
        <v>2</v>
      </c>
      <c r="B46" s="71" t="s">
        <v>631</v>
      </c>
      <c r="C46" s="73" t="s">
        <v>370</v>
      </c>
    </row>
    <row r="47" spans="1:3" ht="25.95" customHeight="1" x14ac:dyDescent="0.3">
      <c r="A47" s="12">
        <v>3</v>
      </c>
      <c r="B47" s="88" t="s">
        <v>632</v>
      </c>
      <c r="C47" s="73" t="s">
        <v>370</v>
      </c>
    </row>
    <row r="48" spans="1:3" ht="25.95" customHeight="1" x14ac:dyDescent="0.3">
      <c r="A48" s="10">
        <v>4</v>
      </c>
      <c r="B48" s="89" t="s">
        <v>629</v>
      </c>
      <c r="C48" s="90" t="s">
        <v>369</v>
      </c>
    </row>
    <row r="49" spans="1:3" ht="25.95" customHeight="1" x14ac:dyDescent="0.3">
      <c r="A49" s="12">
        <v>5</v>
      </c>
      <c r="B49" s="89" t="s">
        <v>633</v>
      </c>
      <c r="C49" s="90" t="s">
        <v>369</v>
      </c>
    </row>
    <row r="50" spans="1:3" ht="25.95" customHeight="1" x14ac:dyDescent="0.3">
      <c r="A50" s="10">
        <v>6</v>
      </c>
      <c r="B50" s="89" t="s">
        <v>634</v>
      </c>
      <c r="C50" s="90" t="s">
        <v>369</v>
      </c>
    </row>
    <row r="51" spans="1:3" ht="25.95" customHeight="1" x14ac:dyDescent="0.3">
      <c r="A51" s="12">
        <v>7</v>
      </c>
      <c r="B51" s="88" t="s">
        <v>635</v>
      </c>
      <c r="C51" s="73" t="s">
        <v>370</v>
      </c>
    </row>
    <row r="52" spans="1:3" ht="25.95" customHeight="1" x14ac:dyDescent="0.3">
      <c r="A52" s="10">
        <v>8</v>
      </c>
      <c r="B52" s="89" t="s">
        <v>636</v>
      </c>
      <c r="C52" s="90" t="s">
        <v>369</v>
      </c>
    </row>
    <row r="53" spans="1:3" ht="25.8" customHeight="1" x14ac:dyDescent="0.3">
      <c r="A53" s="12">
        <v>9</v>
      </c>
      <c r="B53" s="88" t="s">
        <v>637</v>
      </c>
      <c r="C53" s="73" t="s">
        <v>370</v>
      </c>
    </row>
    <row r="54" spans="1:3" ht="25.2" customHeight="1" x14ac:dyDescent="0.3">
      <c r="A54" s="10">
        <v>10</v>
      </c>
      <c r="B54" s="71" t="s">
        <v>638</v>
      </c>
      <c r="C54" s="73" t="s">
        <v>370</v>
      </c>
    </row>
    <row r="55" spans="1:3" ht="25.2" customHeight="1" x14ac:dyDescent="0.3">
      <c r="A55" s="12">
        <v>11</v>
      </c>
      <c r="B55" s="89" t="s">
        <v>639</v>
      </c>
      <c r="C55" s="90" t="s">
        <v>369</v>
      </c>
    </row>
    <row r="56" spans="1:3" ht="28.8" customHeight="1" x14ac:dyDescent="0.3">
      <c r="A56" s="10">
        <v>12</v>
      </c>
      <c r="B56" s="71" t="s">
        <v>640</v>
      </c>
      <c r="C56" s="73" t="s">
        <v>370</v>
      </c>
    </row>
    <row r="57" spans="1:3" ht="25.8" customHeight="1" x14ac:dyDescent="0.3">
      <c r="A57" s="12">
        <v>13</v>
      </c>
      <c r="B57" s="88" t="s">
        <v>641</v>
      </c>
      <c r="C57" s="73" t="s">
        <v>370</v>
      </c>
    </row>
    <row r="58" spans="1:3" x14ac:dyDescent="0.3">
      <c r="A58" s="154" t="s">
        <v>642</v>
      </c>
      <c r="B58" s="154"/>
      <c r="C58" s="87">
        <f>COUNTIF(C45:C57,"YES")</f>
        <v>6</v>
      </c>
    </row>
    <row r="59" spans="1:3" x14ac:dyDescent="0.3">
      <c r="A59" s="155" t="s">
        <v>643</v>
      </c>
      <c r="B59" s="156"/>
      <c r="C59" s="86">
        <f>COUNTIF(C4:C57,"YES")</f>
        <v>9</v>
      </c>
    </row>
    <row r="60" spans="1:3" x14ac:dyDescent="0.3">
      <c r="A60" s="155"/>
      <c r="B60" s="156"/>
      <c r="C60" s="85">
        <f>COUNTIF(C4:C57,"NO")</f>
        <v>33</v>
      </c>
    </row>
  </sheetData>
  <mergeCells count="12">
    <mergeCell ref="A59:B60"/>
    <mergeCell ref="A2:C2"/>
    <mergeCell ref="A34:C34"/>
    <mergeCell ref="A37:B37"/>
    <mergeCell ref="A38:C38"/>
    <mergeCell ref="A42:B42"/>
    <mergeCell ref="A43:C43"/>
    <mergeCell ref="A1:C1"/>
    <mergeCell ref="A6:B6"/>
    <mergeCell ref="A7:C7"/>
    <mergeCell ref="A33:B33"/>
    <mergeCell ref="A58:B5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C189"/>
  <sheetViews>
    <sheetView topLeftCell="A178" zoomScaleNormal="100" workbookViewId="0">
      <selection activeCell="B110" sqref="B110"/>
    </sheetView>
  </sheetViews>
  <sheetFormatPr defaultRowHeight="14.4" x14ac:dyDescent="0.3"/>
  <cols>
    <col min="1" max="1" width="5" customWidth="1"/>
    <col min="2" max="2" width="58" style="76" customWidth="1"/>
    <col min="3" max="3" width="22" customWidth="1"/>
  </cols>
  <sheetData>
    <row r="1" spans="1:3" ht="28.05" customHeight="1" x14ac:dyDescent="0.3">
      <c r="A1" s="157" t="s">
        <v>656</v>
      </c>
      <c r="B1" s="158"/>
      <c r="C1" s="158"/>
    </row>
    <row r="2" spans="1:3" ht="18" customHeight="1" x14ac:dyDescent="0.3">
      <c r="A2" s="150" t="s">
        <v>576</v>
      </c>
      <c r="B2" s="151"/>
      <c r="C2" s="151"/>
    </row>
    <row r="3" spans="1:3" ht="30" customHeight="1" x14ac:dyDescent="0.3">
      <c r="A3" s="77" t="s">
        <v>141</v>
      </c>
      <c r="B3" s="77" t="s">
        <v>174</v>
      </c>
      <c r="C3" s="77" t="s">
        <v>405</v>
      </c>
    </row>
    <row r="4" spans="1:3" ht="25.95" customHeight="1" x14ac:dyDescent="0.3">
      <c r="A4" s="72">
        <v>1</v>
      </c>
      <c r="B4" s="81" t="s">
        <v>406</v>
      </c>
      <c r="C4" s="73" t="s">
        <v>370</v>
      </c>
    </row>
    <row r="5" spans="1:3" ht="25.95" customHeight="1" x14ac:dyDescent="0.3">
      <c r="A5" s="70">
        <v>2</v>
      </c>
      <c r="B5" s="82" t="s">
        <v>407</v>
      </c>
      <c r="C5" s="73" t="s">
        <v>370</v>
      </c>
    </row>
    <row r="6" spans="1:3" ht="25.95" customHeight="1" x14ac:dyDescent="0.3">
      <c r="A6" s="72">
        <v>3</v>
      </c>
      <c r="B6" s="81" t="s">
        <v>408</v>
      </c>
      <c r="C6" s="73" t="s">
        <v>370</v>
      </c>
    </row>
    <row r="7" spans="1:3" ht="25.95" customHeight="1" x14ac:dyDescent="0.3">
      <c r="A7" s="70">
        <v>4</v>
      </c>
      <c r="B7" s="82" t="s">
        <v>397</v>
      </c>
      <c r="C7" s="73" t="s">
        <v>370</v>
      </c>
    </row>
    <row r="8" spans="1:3" ht="25.95" customHeight="1" x14ac:dyDescent="0.3">
      <c r="A8" s="72">
        <v>5</v>
      </c>
      <c r="B8" s="81" t="s">
        <v>409</v>
      </c>
      <c r="C8" s="73" t="s">
        <v>370</v>
      </c>
    </row>
    <row r="9" spans="1:3" ht="25.95" customHeight="1" x14ac:dyDescent="0.3">
      <c r="A9" s="70">
        <v>6</v>
      </c>
      <c r="B9" s="82" t="s">
        <v>398</v>
      </c>
      <c r="C9" s="73" t="s">
        <v>370</v>
      </c>
    </row>
    <row r="10" spans="1:3" ht="25.95" customHeight="1" x14ac:dyDescent="0.3">
      <c r="A10" s="72">
        <v>7</v>
      </c>
      <c r="B10" s="81" t="s">
        <v>410</v>
      </c>
      <c r="C10" s="73" t="s">
        <v>370</v>
      </c>
    </row>
    <row r="11" spans="1:3" ht="25.95" customHeight="1" x14ac:dyDescent="0.3">
      <c r="A11" s="70">
        <v>8</v>
      </c>
      <c r="B11" s="82" t="s">
        <v>411</v>
      </c>
      <c r="C11" s="73" t="s">
        <v>370</v>
      </c>
    </row>
    <row r="12" spans="1:3" ht="25.95" customHeight="1" x14ac:dyDescent="0.3">
      <c r="A12" s="72">
        <v>9</v>
      </c>
      <c r="B12" s="81" t="s">
        <v>399</v>
      </c>
      <c r="C12" s="73" t="s">
        <v>370</v>
      </c>
    </row>
    <row r="13" spans="1:3" ht="25.95" customHeight="1" x14ac:dyDescent="0.3">
      <c r="A13" s="70">
        <v>10</v>
      </c>
      <c r="B13" s="82" t="s">
        <v>400</v>
      </c>
      <c r="C13" s="73" t="s">
        <v>370</v>
      </c>
    </row>
    <row r="14" spans="1:3" ht="25.95" customHeight="1" x14ac:dyDescent="0.3">
      <c r="A14" s="72">
        <v>11</v>
      </c>
      <c r="B14" s="83" t="s">
        <v>412</v>
      </c>
      <c r="C14" s="84" t="s">
        <v>369</v>
      </c>
    </row>
    <row r="15" spans="1:3" ht="25.95" customHeight="1" x14ac:dyDescent="0.3">
      <c r="A15" s="70">
        <v>12</v>
      </c>
      <c r="B15" s="82" t="s">
        <v>413</v>
      </c>
      <c r="C15" s="73" t="s">
        <v>370</v>
      </c>
    </row>
    <row r="16" spans="1:3" ht="25.95" customHeight="1" x14ac:dyDescent="0.3">
      <c r="A16" s="72">
        <v>13</v>
      </c>
      <c r="B16" s="81" t="s">
        <v>414</v>
      </c>
      <c r="C16" s="73" t="s">
        <v>370</v>
      </c>
    </row>
    <row r="17" spans="1:3" ht="25.95" customHeight="1" x14ac:dyDescent="0.3">
      <c r="A17" s="70">
        <v>14</v>
      </c>
      <c r="B17" s="82" t="s">
        <v>415</v>
      </c>
      <c r="C17" s="73" t="s">
        <v>370</v>
      </c>
    </row>
    <row r="18" spans="1:3" ht="25.95" customHeight="1" x14ac:dyDescent="0.3">
      <c r="A18" s="72">
        <v>15</v>
      </c>
      <c r="B18" s="81" t="s">
        <v>401</v>
      </c>
      <c r="C18" s="73" t="s">
        <v>370</v>
      </c>
    </row>
    <row r="19" spans="1:3" ht="25.95" customHeight="1" x14ac:dyDescent="0.3">
      <c r="A19" s="70">
        <v>16</v>
      </c>
      <c r="B19" s="82" t="s">
        <v>416</v>
      </c>
      <c r="C19" s="73" t="s">
        <v>370</v>
      </c>
    </row>
    <row r="20" spans="1:3" ht="25.95" customHeight="1" x14ac:dyDescent="0.3">
      <c r="A20" s="72">
        <v>17</v>
      </c>
      <c r="B20" s="81" t="s">
        <v>417</v>
      </c>
      <c r="C20" s="73" t="s">
        <v>370</v>
      </c>
    </row>
    <row r="21" spans="1:3" ht="25.95" customHeight="1" x14ac:dyDescent="0.3">
      <c r="A21" s="70">
        <v>18</v>
      </c>
      <c r="B21" s="82" t="s">
        <v>418</v>
      </c>
      <c r="C21" s="73" t="s">
        <v>370</v>
      </c>
    </row>
    <row r="22" spans="1:3" ht="25.95" customHeight="1" x14ac:dyDescent="0.3">
      <c r="A22" s="72">
        <v>19</v>
      </c>
      <c r="B22" s="81" t="s">
        <v>419</v>
      </c>
      <c r="C22" s="73" t="s">
        <v>370</v>
      </c>
    </row>
    <row r="23" spans="1:3" ht="25.95" customHeight="1" x14ac:dyDescent="0.3">
      <c r="A23" s="70">
        <v>20</v>
      </c>
      <c r="B23" s="82" t="s">
        <v>420</v>
      </c>
      <c r="C23" s="73" t="s">
        <v>370</v>
      </c>
    </row>
    <row r="24" spans="1:3" ht="25.95" customHeight="1" x14ac:dyDescent="0.3">
      <c r="A24" s="72">
        <v>21</v>
      </c>
      <c r="B24" s="81" t="s">
        <v>421</v>
      </c>
      <c r="C24" s="73" t="s">
        <v>370</v>
      </c>
    </row>
    <row r="25" spans="1:3" ht="25.95" customHeight="1" x14ac:dyDescent="0.3">
      <c r="A25" s="70">
        <v>22</v>
      </c>
      <c r="B25" s="82" t="s">
        <v>422</v>
      </c>
      <c r="C25" s="73" t="s">
        <v>370</v>
      </c>
    </row>
    <row r="26" spans="1:3" ht="25.95" customHeight="1" x14ac:dyDescent="0.3">
      <c r="A26" s="72">
        <v>23</v>
      </c>
      <c r="B26" s="83" t="s">
        <v>423</v>
      </c>
      <c r="C26" s="84" t="s">
        <v>369</v>
      </c>
    </row>
    <row r="27" spans="1:3" ht="25.95" customHeight="1" x14ac:dyDescent="0.3">
      <c r="A27" s="70">
        <v>24</v>
      </c>
      <c r="B27" s="82" t="s">
        <v>424</v>
      </c>
      <c r="C27" s="73" t="s">
        <v>370</v>
      </c>
    </row>
    <row r="28" spans="1:3" ht="25.95" customHeight="1" x14ac:dyDescent="0.3">
      <c r="A28" s="72">
        <v>25</v>
      </c>
      <c r="B28" s="81" t="s">
        <v>425</v>
      </c>
      <c r="C28" s="73" t="s">
        <v>370</v>
      </c>
    </row>
    <row r="29" spans="1:3" ht="25.95" customHeight="1" x14ac:dyDescent="0.3">
      <c r="A29" s="70">
        <v>26</v>
      </c>
      <c r="B29" s="82" t="s">
        <v>426</v>
      </c>
      <c r="C29" s="73" t="s">
        <v>370</v>
      </c>
    </row>
    <row r="30" spans="1:3" ht="25.95" customHeight="1" x14ac:dyDescent="0.3">
      <c r="A30" s="72">
        <v>27</v>
      </c>
      <c r="B30" s="81" t="s">
        <v>427</v>
      </c>
      <c r="C30" s="73" t="s">
        <v>370</v>
      </c>
    </row>
    <row r="31" spans="1:3" ht="18" customHeight="1" x14ac:dyDescent="0.3">
      <c r="A31" s="72">
        <v>28</v>
      </c>
      <c r="B31" s="82" t="s">
        <v>428</v>
      </c>
      <c r="C31" s="73" t="s">
        <v>370</v>
      </c>
    </row>
    <row r="32" spans="1:3" ht="25.95" customHeight="1" x14ac:dyDescent="0.3">
      <c r="A32" s="72">
        <v>29</v>
      </c>
      <c r="B32" s="81" t="s">
        <v>429</v>
      </c>
      <c r="C32" s="73" t="s">
        <v>370</v>
      </c>
    </row>
    <row r="33" spans="1:3" ht="25.95" customHeight="1" x14ac:dyDescent="0.3">
      <c r="A33" s="72">
        <v>30</v>
      </c>
      <c r="B33" s="82" t="s">
        <v>430</v>
      </c>
      <c r="C33" s="73" t="s">
        <v>370</v>
      </c>
    </row>
    <row r="34" spans="1:3" ht="25.95" customHeight="1" x14ac:dyDescent="0.3">
      <c r="A34" s="72">
        <v>31</v>
      </c>
      <c r="B34" s="81" t="s">
        <v>402</v>
      </c>
      <c r="C34" s="73" t="s">
        <v>370</v>
      </c>
    </row>
    <row r="35" spans="1:3" ht="25.95" customHeight="1" x14ac:dyDescent="0.3">
      <c r="A35" s="72">
        <v>32</v>
      </c>
      <c r="B35" s="82" t="s">
        <v>431</v>
      </c>
      <c r="C35" s="73" t="s">
        <v>370</v>
      </c>
    </row>
    <row r="36" spans="1:3" ht="25.95" customHeight="1" x14ac:dyDescent="0.3">
      <c r="A36" s="72">
        <v>33</v>
      </c>
      <c r="B36" s="81" t="s">
        <v>432</v>
      </c>
      <c r="C36" s="73" t="s">
        <v>370</v>
      </c>
    </row>
    <row r="37" spans="1:3" ht="25.95" customHeight="1" x14ac:dyDescent="0.3">
      <c r="A37" s="70">
        <v>34</v>
      </c>
      <c r="B37" s="82" t="s">
        <v>433</v>
      </c>
      <c r="C37" s="73" t="s">
        <v>370</v>
      </c>
    </row>
    <row r="38" spans="1:3" ht="25.95" customHeight="1" x14ac:dyDescent="0.3">
      <c r="A38" s="72">
        <v>35</v>
      </c>
      <c r="B38" s="81" t="s">
        <v>434</v>
      </c>
      <c r="C38" s="73" t="s">
        <v>370</v>
      </c>
    </row>
    <row r="39" spans="1:3" ht="25.95" customHeight="1" x14ac:dyDescent="0.3">
      <c r="A39" s="70">
        <v>36</v>
      </c>
      <c r="B39" s="82" t="s">
        <v>435</v>
      </c>
      <c r="C39" s="73" t="s">
        <v>370</v>
      </c>
    </row>
    <row r="40" spans="1:3" ht="25.95" customHeight="1" x14ac:dyDescent="0.3">
      <c r="A40" s="72">
        <v>37</v>
      </c>
      <c r="B40" s="81" t="s">
        <v>436</v>
      </c>
      <c r="C40" s="73" t="s">
        <v>370</v>
      </c>
    </row>
    <row r="41" spans="1:3" ht="25.95" customHeight="1" x14ac:dyDescent="0.3">
      <c r="A41" s="70">
        <v>38</v>
      </c>
      <c r="B41" s="82" t="s">
        <v>437</v>
      </c>
      <c r="C41" s="73" t="s">
        <v>370</v>
      </c>
    </row>
    <row r="42" spans="1:3" ht="25.95" customHeight="1" x14ac:dyDescent="0.3">
      <c r="A42" s="72">
        <v>39</v>
      </c>
      <c r="B42" s="81" t="s">
        <v>438</v>
      </c>
      <c r="C42" s="73" t="s">
        <v>370</v>
      </c>
    </row>
    <row r="43" spans="1:3" ht="25.95" customHeight="1" x14ac:dyDescent="0.3">
      <c r="A43" s="70">
        <v>40</v>
      </c>
      <c r="B43" s="82" t="s">
        <v>439</v>
      </c>
      <c r="C43" s="73" t="s">
        <v>370</v>
      </c>
    </row>
    <row r="44" spans="1:3" ht="25.95" customHeight="1" x14ac:dyDescent="0.3">
      <c r="A44" s="72">
        <v>41</v>
      </c>
      <c r="B44" s="81" t="s">
        <v>440</v>
      </c>
      <c r="C44" s="73" t="s">
        <v>370</v>
      </c>
    </row>
    <row r="45" spans="1:3" ht="25.95" customHeight="1" x14ac:dyDescent="0.3">
      <c r="A45" s="70">
        <v>42</v>
      </c>
      <c r="B45" s="82" t="s">
        <v>441</v>
      </c>
      <c r="C45" s="73" t="s">
        <v>370</v>
      </c>
    </row>
    <row r="46" spans="1:3" ht="25.95" customHeight="1" x14ac:dyDescent="0.3">
      <c r="A46" s="72">
        <v>43</v>
      </c>
      <c r="B46" s="81" t="s">
        <v>442</v>
      </c>
      <c r="C46" s="73" t="s">
        <v>370</v>
      </c>
    </row>
    <row r="47" spans="1:3" ht="25.95" customHeight="1" x14ac:dyDescent="0.3">
      <c r="A47" s="70">
        <v>44</v>
      </c>
      <c r="B47" s="82" t="s">
        <v>443</v>
      </c>
      <c r="C47" s="73" t="s">
        <v>370</v>
      </c>
    </row>
    <row r="48" spans="1:3" ht="25.95" customHeight="1" x14ac:dyDescent="0.3">
      <c r="A48" s="72">
        <v>45</v>
      </c>
      <c r="B48" s="81" t="s">
        <v>444</v>
      </c>
      <c r="C48" s="73" t="s">
        <v>370</v>
      </c>
    </row>
    <row r="49" spans="1:3" ht="25.95" customHeight="1" x14ac:dyDescent="0.3">
      <c r="A49" s="70">
        <v>46</v>
      </c>
      <c r="B49" s="82" t="s">
        <v>445</v>
      </c>
      <c r="C49" s="73" t="s">
        <v>370</v>
      </c>
    </row>
    <row r="50" spans="1:3" ht="25.95" customHeight="1" x14ac:dyDescent="0.3">
      <c r="A50" s="72">
        <v>47</v>
      </c>
      <c r="B50" s="81" t="s">
        <v>403</v>
      </c>
      <c r="C50" s="73" t="s">
        <v>370</v>
      </c>
    </row>
    <row r="51" spans="1:3" ht="25.95" customHeight="1" x14ac:dyDescent="0.3">
      <c r="A51" s="70">
        <v>48</v>
      </c>
      <c r="B51" s="82" t="s">
        <v>446</v>
      </c>
      <c r="C51" s="73" t="s">
        <v>370</v>
      </c>
    </row>
    <row r="52" spans="1:3" ht="25.95" customHeight="1" x14ac:dyDescent="0.3">
      <c r="A52" s="72">
        <v>49</v>
      </c>
      <c r="B52" s="81" t="s">
        <v>447</v>
      </c>
      <c r="C52" s="73" t="s">
        <v>370</v>
      </c>
    </row>
    <row r="53" spans="1:3" ht="25.95" customHeight="1" x14ac:dyDescent="0.3">
      <c r="A53" s="70">
        <v>50</v>
      </c>
      <c r="B53" s="82" t="s">
        <v>404</v>
      </c>
      <c r="C53" s="73" t="s">
        <v>370</v>
      </c>
    </row>
    <row r="54" spans="1:3" ht="26.4" x14ac:dyDescent="0.3">
      <c r="A54" s="72">
        <v>51</v>
      </c>
      <c r="B54" s="81" t="s">
        <v>448</v>
      </c>
      <c r="C54" s="73" t="s">
        <v>370</v>
      </c>
    </row>
    <row r="55" spans="1:3" ht="39.6" x14ac:dyDescent="0.3">
      <c r="A55" s="70">
        <v>52</v>
      </c>
      <c r="B55" s="82" t="s">
        <v>449</v>
      </c>
      <c r="C55" s="73" t="s">
        <v>370</v>
      </c>
    </row>
    <row r="56" spans="1:3" ht="26.4" x14ac:dyDescent="0.3">
      <c r="A56" s="72">
        <v>53</v>
      </c>
      <c r="B56" s="81" t="s">
        <v>450</v>
      </c>
      <c r="C56" s="73" t="s">
        <v>370</v>
      </c>
    </row>
    <row r="57" spans="1:3" ht="26.4" x14ac:dyDescent="0.3">
      <c r="A57" s="70">
        <v>54</v>
      </c>
      <c r="B57" s="82" t="s">
        <v>451</v>
      </c>
      <c r="C57" s="73" t="s">
        <v>370</v>
      </c>
    </row>
    <row r="58" spans="1:3" ht="26.4" x14ac:dyDescent="0.3">
      <c r="A58" s="72">
        <v>55</v>
      </c>
      <c r="B58" s="81" t="s">
        <v>452</v>
      </c>
      <c r="C58" s="73" t="s">
        <v>370</v>
      </c>
    </row>
    <row r="59" spans="1:3" ht="26.4" x14ac:dyDescent="0.3">
      <c r="A59" s="70">
        <v>56</v>
      </c>
      <c r="B59" s="82" t="s">
        <v>453</v>
      </c>
      <c r="C59" s="73" t="s">
        <v>370</v>
      </c>
    </row>
    <row r="60" spans="1:3" ht="26.4" x14ac:dyDescent="0.3">
      <c r="A60" s="72">
        <v>57</v>
      </c>
      <c r="B60" s="81" t="s">
        <v>454</v>
      </c>
      <c r="C60" s="73" t="s">
        <v>370</v>
      </c>
    </row>
    <row r="61" spans="1:3" ht="26.4" x14ac:dyDescent="0.3">
      <c r="A61" s="70">
        <v>58</v>
      </c>
      <c r="B61" s="82" t="s">
        <v>455</v>
      </c>
      <c r="C61" s="73" t="s">
        <v>370</v>
      </c>
    </row>
    <row r="62" spans="1:3" ht="39.6" x14ac:dyDescent="0.3">
      <c r="A62" s="72">
        <v>59</v>
      </c>
      <c r="B62" s="81" t="s">
        <v>456</v>
      </c>
      <c r="C62" s="73" t="s">
        <v>370</v>
      </c>
    </row>
    <row r="63" spans="1:3" ht="26.4" x14ac:dyDescent="0.3">
      <c r="A63" s="70">
        <v>60</v>
      </c>
      <c r="B63" s="82" t="s">
        <v>457</v>
      </c>
      <c r="C63" s="73" t="s">
        <v>370</v>
      </c>
    </row>
    <row r="64" spans="1:3" ht="26.4" x14ac:dyDescent="0.3">
      <c r="A64" s="72">
        <v>61</v>
      </c>
      <c r="B64" s="81" t="s">
        <v>458</v>
      </c>
      <c r="C64" s="73" t="s">
        <v>370</v>
      </c>
    </row>
    <row r="65" spans="1:3" ht="39.6" x14ac:dyDescent="0.3">
      <c r="A65" s="70">
        <v>62</v>
      </c>
      <c r="B65" s="82" t="s">
        <v>459</v>
      </c>
      <c r="C65" s="73" t="s">
        <v>370</v>
      </c>
    </row>
    <row r="66" spans="1:3" ht="26.4" x14ac:dyDescent="0.3">
      <c r="A66" s="72">
        <v>63</v>
      </c>
      <c r="B66" s="81" t="s">
        <v>460</v>
      </c>
      <c r="C66" s="73" t="s">
        <v>370</v>
      </c>
    </row>
    <row r="67" spans="1:3" ht="26.4" x14ac:dyDescent="0.3">
      <c r="A67" s="70">
        <v>64</v>
      </c>
      <c r="B67" s="82" t="s">
        <v>461</v>
      </c>
      <c r="C67" s="73" t="s">
        <v>370</v>
      </c>
    </row>
    <row r="68" spans="1:3" ht="26.4" x14ac:dyDescent="0.3">
      <c r="A68" s="72">
        <v>65</v>
      </c>
      <c r="B68" s="81" t="s">
        <v>462</v>
      </c>
      <c r="C68" s="73" t="s">
        <v>370</v>
      </c>
    </row>
    <row r="69" spans="1:3" ht="26.4" x14ac:dyDescent="0.3">
      <c r="A69" s="70">
        <v>66</v>
      </c>
      <c r="B69" s="82" t="s">
        <v>463</v>
      </c>
      <c r="C69" s="73" t="s">
        <v>370</v>
      </c>
    </row>
    <row r="70" spans="1:3" ht="26.4" x14ac:dyDescent="0.3">
      <c r="A70" s="72">
        <v>67</v>
      </c>
      <c r="B70" s="81" t="s">
        <v>464</v>
      </c>
      <c r="C70" s="73" t="s">
        <v>370</v>
      </c>
    </row>
    <row r="71" spans="1:3" ht="26.4" x14ac:dyDescent="0.3">
      <c r="A71" s="70">
        <v>68</v>
      </c>
      <c r="B71" s="82" t="s">
        <v>465</v>
      </c>
      <c r="C71" s="73" t="s">
        <v>370</v>
      </c>
    </row>
    <row r="72" spans="1:3" ht="26.4" x14ac:dyDescent="0.3">
      <c r="A72" s="72">
        <v>69</v>
      </c>
      <c r="B72" s="81" t="s">
        <v>466</v>
      </c>
      <c r="C72" s="73" t="s">
        <v>370</v>
      </c>
    </row>
    <row r="73" spans="1:3" ht="26.4" x14ac:dyDescent="0.3">
      <c r="A73" s="70">
        <v>70</v>
      </c>
      <c r="B73" s="82" t="s">
        <v>467</v>
      </c>
      <c r="C73" s="73" t="s">
        <v>370</v>
      </c>
    </row>
    <row r="74" spans="1:3" ht="26.4" x14ac:dyDescent="0.3">
      <c r="A74" s="72">
        <v>71</v>
      </c>
      <c r="B74" s="81" t="s">
        <v>468</v>
      </c>
      <c r="C74" s="73" t="s">
        <v>370</v>
      </c>
    </row>
    <row r="75" spans="1:3" ht="39.6" x14ac:dyDescent="0.3">
      <c r="A75" s="70">
        <v>72</v>
      </c>
      <c r="B75" s="82" t="s">
        <v>469</v>
      </c>
      <c r="C75" s="73" t="s">
        <v>370</v>
      </c>
    </row>
    <row r="76" spans="1:3" ht="26.4" x14ac:dyDescent="0.3">
      <c r="A76" s="72">
        <v>73</v>
      </c>
      <c r="B76" s="81" t="s">
        <v>470</v>
      </c>
      <c r="C76" s="73" t="s">
        <v>370</v>
      </c>
    </row>
    <row r="77" spans="1:3" ht="26.4" x14ac:dyDescent="0.3">
      <c r="A77" s="70">
        <v>74</v>
      </c>
      <c r="B77" s="82" t="s">
        <v>471</v>
      </c>
      <c r="C77" s="73" t="s">
        <v>370</v>
      </c>
    </row>
    <row r="78" spans="1:3" ht="26.4" x14ac:dyDescent="0.3">
      <c r="A78" s="72">
        <v>75</v>
      </c>
      <c r="B78" s="81" t="s">
        <v>472</v>
      </c>
      <c r="C78" s="73" t="s">
        <v>370</v>
      </c>
    </row>
    <row r="79" spans="1:3" ht="26.4" x14ac:dyDescent="0.3">
      <c r="A79" s="70">
        <v>76</v>
      </c>
      <c r="B79" s="82" t="s">
        <v>473</v>
      </c>
      <c r="C79" s="73" t="s">
        <v>370</v>
      </c>
    </row>
    <row r="80" spans="1:3" ht="26.4" x14ac:dyDescent="0.3">
      <c r="A80" s="72">
        <v>77</v>
      </c>
      <c r="B80" s="81" t="s">
        <v>474</v>
      </c>
      <c r="C80" s="73" t="s">
        <v>370</v>
      </c>
    </row>
    <row r="81" spans="1:3" ht="26.4" x14ac:dyDescent="0.3">
      <c r="A81" s="70">
        <v>78</v>
      </c>
      <c r="B81" s="82" t="s">
        <v>475</v>
      </c>
      <c r="C81" s="73" t="s">
        <v>370</v>
      </c>
    </row>
    <row r="82" spans="1:3" ht="26.4" x14ac:dyDescent="0.3">
      <c r="A82" s="72">
        <v>79</v>
      </c>
      <c r="B82" s="81" t="s">
        <v>476</v>
      </c>
      <c r="C82" s="73" t="s">
        <v>370</v>
      </c>
    </row>
    <row r="83" spans="1:3" ht="26.4" x14ac:dyDescent="0.3">
      <c r="A83" s="70">
        <v>80</v>
      </c>
      <c r="B83" s="82" t="s">
        <v>477</v>
      </c>
      <c r="C83" s="73" t="s">
        <v>370</v>
      </c>
    </row>
    <row r="84" spans="1:3" ht="26.4" x14ac:dyDescent="0.3">
      <c r="A84" s="72">
        <v>81</v>
      </c>
      <c r="B84" s="81" t="s">
        <v>478</v>
      </c>
      <c r="C84" s="73" t="s">
        <v>370</v>
      </c>
    </row>
    <row r="85" spans="1:3" ht="26.4" x14ac:dyDescent="0.3">
      <c r="A85" s="70">
        <v>82</v>
      </c>
      <c r="B85" s="82" t="s">
        <v>479</v>
      </c>
      <c r="C85" s="73" t="s">
        <v>370</v>
      </c>
    </row>
    <row r="86" spans="1:3" ht="26.4" x14ac:dyDescent="0.3">
      <c r="A86" s="72">
        <v>83</v>
      </c>
      <c r="B86" s="81" t="s">
        <v>480</v>
      </c>
      <c r="C86" s="73" t="s">
        <v>370</v>
      </c>
    </row>
    <row r="87" spans="1:3" ht="26.4" x14ac:dyDescent="0.3">
      <c r="A87" s="70">
        <v>84</v>
      </c>
      <c r="B87" s="82" t="s">
        <v>481</v>
      </c>
      <c r="C87" s="73" t="s">
        <v>370</v>
      </c>
    </row>
    <row r="88" spans="1:3" ht="39.6" x14ac:dyDescent="0.3">
      <c r="A88" s="72">
        <v>85</v>
      </c>
      <c r="B88" s="81" t="s">
        <v>482</v>
      </c>
      <c r="C88" s="73" t="s">
        <v>370</v>
      </c>
    </row>
    <row r="89" spans="1:3" ht="26.4" x14ac:dyDescent="0.3">
      <c r="A89" s="70">
        <v>86</v>
      </c>
      <c r="B89" s="82" t="s">
        <v>483</v>
      </c>
      <c r="C89" s="73" t="s">
        <v>370</v>
      </c>
    </row>
    <row r="90" spans="1:3" ht="26.4" x14ac:dyDescent="0.3">
      <c r="A90" s="72">
        <v>87</v>
      </c>
      <c r="B90" s="81" t="s">
        <v>484</v>
      </c>
      <c r="C90" s="73" t="s">
        <v>370</v>
      </c>
    </row>
    <row r="91" spans="1:3" ht="26.4" x14ac:dyDescent="0.3">
      <c r="A91" s="70">
        <v>88</v>
      </c>
      <c r="B91" s="82" t="s">
        <v>485</v>
      </c>
      <c r="C91" s="73" t="s">
        <v>370</v>
      </c>
    </row>
    <row r="92" spans="1:3" ht="26.4" x14ac:dyDescent="0.3">
      <c r="A92" s="72">
        <v>89</v>
      </c>
      <c r="B92" s="81" t="s">
        <v>486</v>
      </c>
      <c r="C92" s="73" t="s">
        <v>370</v>
      </c>
    </row>
    <row r="93" spans="1:3" ht="26.4" x14ac:dyDescent="0.3">
      <c r="A93" s="70">
        <v>90</v>
      </c>
      <c r="B93" s="82" t="s">
        <v>487</v>
      </c>
      <c r="C93" s="73" t="s">
        <v>370</v>
      </c>
    </row>
    <row r="94" spans="1:3" ht="39.6" x14ac:dyDescent="0.3">
      <c r="A94" s="72">
        <v>91</v>
      </c>
      <c r="B94" s="81" t="s">
        <v>488</v>
      </c>
      <c r="C94" s="73" t="s">
        <v>370</v>
      </c>
    </row>
    <row r="95" spans="1:3" ht="39.6" x14ac:dyDescent="0.3">
      <c r="A95" s="70">
        <v>92</v>
      </c>
      <c r="B95" s="82" t="s">
        <v>489</v>
      </c>
      <c r="C95" s="73" t="s">
        <v>370</v>
      </c>
    </row>
    <row r="96" spans="1:3" x14ac:dyDescent="0.3">
      <c r="A96" s="159" t="s">
        <v>490</v>
      </c>
      <c r="B96" s="159"/>
      <c r="C96" s="87">
        <f>COUNTIF(C4:C95,"YES")</f>
        <v>2</v>
      </c>
    </row>
    <row r="97" spans="1:3" ht="22.2" customHeight="1" x14ac:dyDescent="0.3">
      <c r="A97" s="150" t="s">
        <v>575</v>
      </c>
      <c r="B97" s="151"/>
      <c r="C97" s="151"/>
    </row>
    <row r="98" spans="1:3" ht="26.4" x14ac:dyDescent="0.3">
      <c r="A98" s="77" t="s">
        <v>141</v>
      </c>
      <c r="B98" s="77" t="s">
        <v>174</v>
      </c>
      <c r="C98" s="77" t="s">
        <v>405</v>
      </c>
    </row>
    <row r="99" spans="1:3" ht="39.6" x14ac:dyDescent="0.3">
      <c r="A99" s="70">
        <v>1</v>
      </c>
      <c r="B99" s="81" t="s">
        <v>406</v>
      </c>
      <c r="C99" s="73" t="s">
        <v>370</v>
      </c>
    </row>
    <row r="100" spans="1:3" ht="26.4" x14ac:dyDescent="0.3">
      <c r="A100" s="70">
        <v>2</v>
      </c>
      <c r="B100" s="82" t="s">
        <v>491</v>
      </c>
      <c r="C100" s="73" t="s">
        <v>370</v>
      </c>
    </row>
    <row r="101" spans="1:3" ht="26.4" x14ac:dyDescent="0.3">
      <c r="A101" s="70">
        <v>3</v>
      </c>
      <c r="B101" s="81" t="s">
        <v>492</v>
      </c>
      <c r="C101" s="73" t="s">
        <v>370</v>
      </c>
    </row>
    <row r="102" spans="1:3" ht="26.4" x14ac:dyDescent="0.3">
      <c r="A102" s="70">
        <v>4</v>
      </c>
      <c r="B102" s="82" t="s">
        <v>493</v>
      </c>
      <c r="C102" s="73" t="s">
        <v>370</v>
      </c>
    </row>
    <row r="103" spans="1:3" ht="39.6" x14ac:dyDescent="0.3">
      <c r="A103" s="70">
        <v>5</v>
      </c>
      <c r="B103" s="81" t="s">
        <v>494</v>
      </c>
      <c r="C103" s="73" t="s">
        <v>370</v>
      </c>
    </row>
    <row r="104" spans="1:3" ht="26.4" x14ac:dyDescent="0.3">
      <c r="A104" s="70">
        <v>6</v>
      </c>
      <c r="B104" s="82" t="s">
        <v>495</v>
      </c>
      <c r="C104" s="73" t="s">
        <v>370</v>
      </c>
    </row>
    <row r="105" spans="1:3" ht="39.6" x14ac:dyDescent="0.3">
      <c r="A105" s="70">
        <v>7</v>
      </c>
      <c r="B105" s="81" t="s">
        <v>496</v>
      </c>
      <c r="C105" s="73" t="s">
        <v>370</v>
      </c>
    </row>
    <row r="106" spans="1:3" ht="26.4" x14ac:dyDescent="0.3">
      <c r="A106" s="70">
        <v>8</v>
      </c>
      <c r="B106" s="82" t="s">
        <v>497</v>
      </c>
      <c r="C106" s="73" t="s">
        <v>370</v>
      </c>
    </row>
    <row r="107" spans="1:3" ht="26.4" x14ac:dyDescent="0.3">
      <c r="A107" s="70">
        <v>9</v>
      </c>
      <c r="B107" s="81" t="s">
        <v>498</v>
      </c>
      <c r="C107" s="73" t="s">
        <v>370</v>
      </c>
    </row>
    <row r="108" spans="1:3" ht="39.6" x14ac:dyDescent="0.3">
      <c r="A108" s="70">
        <v>10</v>
      </c>
      <c r="B108" s="82" t="s">
        <v>499</v>
      </c>
      <c r="C108" s="73" t="s">
        <v>370</v>
      </c>
    </row>
    <row r="109" spans="1:3" ht="26.4" x14ac:dyDescent="0.3">
      <c r="A109" s="70">
        <v>11</v>
      </c>
      <c r="B109" s="81" t="s">
        <v>500</v>
      </c>
      <c r="C109" s="73" t="s">
        <v>370</v>
      </c>
    </row>
    <row r="110" spans="1:3" ht="26.4" x14ac:dyDescent="0.3">
      <c r="A110" s="70">
        <v>12</v>
      </c>
      <c r="B110" s="82" t="s">
        <v>501</v>
      </c>
      <c r="C110" s="73" t="s">
        <v>370</v>
      </c>
    </row>
    <row r="111" spans="1:3" ht="26.4" x14ac:dyDescent="0.3">
      <c r="A111" s="70">
        <v>13</v>
      </c>
      <c r="B111" s="81" t="s">
        <v>502</v>
      </c>
      <c r="C111" s="73" t="s">
        <v>370</v>
      </c>
    </row>
    <row r="112" spans="1:3" ht="26.4" x14ac:dyDescent="0.3">
      <c r="A112" s="70">
        <v>14</v>
      </c>
      <c r="B112" s="82" t="s">
        <v>503</v>
      </c>
      <c r="C112" s="73" t="s">
        <v>370</v>
      </c>
    </row>
    <row r="113" spans="1:3" ht="26.4" x14ac:dyDescent="0.3">
      <c r="A113" s="70">
        <v>15</v>
      </c>
      <c r="B113" s="81" t="s">
        <v>504</v>
      </c>
      <c r="C113" s="73" t="s">
        <v>370</v>
      </c>
    </row>
    <row r="114" spans="1:3" ht="26.4" x14ac:dyDescent="0.3">
      <c r="A114" s="70">
        <v>16</v>
      </c>
      <c r="B114" s="82" t="s">
        <v>505</v>
      </c>
      <c r="C114" s="73" t="s">
        <v>370</v>
      </c>
    </row>
    <row r="115" spans="1:3" ht="26.4" x14ac:dyDescent="0.3">
      <c r="A115" s="70">
        <v>17</v>
      </c>
      <c r="B115" s="81" t="s">
        <v>506</v>
      </c>
      <c r="C115" s="73" t="s">
        <v>370</v>
      </c>
    </row>
    <row r="116" spans="1:3" ht="26.4" x14ac:dyDescent="0.3">
      <c r="A116" s="70">
        <v>18</v>
      </c>
      <c r="B116" s="82" t="s">
        <v>507</v>
      </c>
      <c r="C116" s="73" t="s">
        <v>370</v>
      </c>
    </row>
    <row r="117" spans="1:3" ht="26.4" x14ac:dyDescent="0.3">
      <c r="A117" s="70">
        <v>19</v>
      </c>
      <c r="B117" s="81" t="s">
        <v>508</v>
      </c>
      <c r="C117" s="73" t="s">
        <v>370</v>
      </c>
    </row>
    <row r="118" spans="1:3" ht="26.4" x14ac:dyDescent="0.3">
      <c r="A118" s="70">
        <v>20</v>
      </c>
      <c r="B118" s="82" t="s">
        <v>509</v>
      </c>
      <c r="C118" s="73" t="s">
        <v>370</v>
      </c>
    </row>
    <row r="119" spans="1:3" ht="26.4" x14ac:dyDescent="0.3">
      <c r="A119" s="70">
        <v>21</v>
      </c>
      <c r="B119" s="81" t="s">
        <v>510</v>
      </c>
      <c r="C119" s="73" t="s">
        <v>370</v>
      </c>
    </row>
    <row r="120" spans="1:3" ht="39.6" x14ac:dyDescent="0.3">
      <c r="A120" s="70">
        <v>22</v>
      </c>
      <c r="B120" s="82" t="s">
        <v>511</v>
      </c>
      <c r="C120" s="73" t="s">
        <v>370</v>
      </c>
    </row>
    <row r="121" spans="1:3" ht="39.6" x14ac:dyDescent="0.3">
      <c r="A121" s="70">
        <v>23</v>
      </c>
      <c r="B121" s="81" t="s">
        <v>512</v>
      </c>
      <c r="C121" s="73" t="s">
        <v>370</v>
      </c>
    </row>
    <row r="122" spans="1:3" ht="26.4" x14ac:dyDescent="0.3">
      <c r="A122" s="70">
        <v>24</v>
      </c>
      <c r="B122" s="82" t="s">
        <v>513</v>
      </c>
      <c r="C122" s="73" t="s">
        <v>370</v>
      </c>
    </row>
    <row r="123" spans="1:3" ht="26.4" x14ac:dyDescent="0.3">
      <c r="A123" s="70">
        <v>25</v>
      </c>
      <c r="B123" s="81" t="s">
        <v>514</v>
      </c>
      <c r="C123" s="73" t="s">
        <v>370</v>
      </c>
    </row>
    <row r="124" spans="1:3" ht="26.4" x14ac:dyDescent="0.3">
      <c r="A124" s="70">
        <v>26</v>
      </c>
      <c r="B124" s="82" t="s">
        <v>515</v>
      </c>
      <c r="C124" s="73" t="s">
        <v>370</v>
      </c>
    </row>
    <row r="125" spans="1:3" ht="26.4" x14ac:dyDescent="0.3">
      <c r="A125" s="70">
        <v>27</v>
      </c>
      <c r="B125" s="81" t="s">
        <v>516</v>
      </c>
      <c r="C125" s="73" t="s">
        <v>370</v>
      </c>
    </row>
    <row r="126" spans="1:3" ht="26.4" x14ac:dyDescent="0.3">
      <c r="A126" s="70">
        <v>28</v>
      </c>
      <c r="B126" s="82" t="s">
        <v>517</v>
      </c>
      <c r="C126" s="73" t="s">
        <v>370</v>
      </c>
    </row>
    <row r="127" spans="1:3" ht="26.4" x14ac:dyDescent="0.3">
      <c r="A127" s="70">
        <v>29</v>
      </c>
      <c r="B127" s="81" t="s">
        <v>440</v>
      </c>
      <c r="C127" s="73" t="s">
        <v>370</v>
      </c>
    </row>
    <row r="128" spans="1:3" ht="26.4" x14ac:dyDescent="0.3">
      <c r="A128" s="70">
        <v>30</v>
      </c>
      <c r="B128" s="82" t="s">
        <v>518</v>
      </c>
      <c r="C128" s="73" t="s">
        <v>370</v>
      </c>
    </row>
    <row r="129" spans="1:3" ht="26.4" x14ac:dyDescent="0.3">
      <c r="A129" s="70">
        <v>31</v>
      </c>
      <c r="B129" s="81" t="s">
        <v>519</v>
      </c>
      <c r="C129" s="73" t="s">
        <v>370</v>
      </c>
    </row>
    <row r="130" spans="1:3" ht="26.4" x14ac:dyDescent="0.3">
      <c r="A130" s="70">
        <v>32</v>
      </c>
      <c r="B130" s="82" t="s">
        <v>520</v>
      </c>
      <c r="C130" s="73" t="s">
        <v>370</v>
      </c>
    </row>
    <row r="131" spans="1:3" ht="26.4" x14ac:dyDescent="0.3">
      <c r="A131" s="70">
        <v>33</v>
      </c>
      <c r="B131" s="81" t="s">
        <v>521</v>
      </c>
      <c r="C131" s="73" t="s">
        <v>370</v>
      </c>
    </row>
    <row r="132" spans="1:3" ht="26.4" x14ac:dyDescent="0.3">
      <c r="A132" s="70">
        <v>34</v>
      </c>
      <c r="B132" s="83" t="s">
        <v>522</v>
      </c>
      <c r="C132" s="84" t="s">
        <v>369</v>
      </c>
    </row>
    <row r="133" spans="1:3" ht="26.4" x14ac:dyDescent="0.3">
      <c r="A133" s="70">
        <v>35</v>
      </c>
      <c r="B133" s="81" t="s">
        <v>523</v>
      </c>
      <c r="C133" s="73" t="s">
        <v>370</v>
      </c>
    </row>
    <row r="134" spans="1:3" ht="26.4" x14ac:dyDescent="0.3">
      <c r="A134" s="70">
        <v>36</v>
      </c>
      <c r="B134" s="82" t="s">
        <v>524</v>
      </c>
      <c r="C134" s="73" t="s">
        <v>370</v>
      </c>
    </row>
    <row r="135" spans="1:3" ht="26.4" x14ac:dyDescent="0.3">
      <c r="A135" s="70">
        <v>37</v>
      </c>
      <c r="B135" s="81" t="s">
        <v>525</v>
      </c>
      <c r="C135" s="73" t="s">
        <v>370</v>
      </c>
    </row>
    <row r="136" spans="1:3" ht="26.4" x14ac:dyDescent="0.3">
      <c r="A136" s="70">
        <v>38</v>
      </c>
      <c r="B136" s="82" t="s">
        <v>526</v>
      </c>
      <c r="C136" s="73" t="s">
        <v>370</v>
      </c>
    </row>
    <row r="137" spans="1:3" ht="26.4" x14ac:dyDescent="0.3">
      <c r="A137" s="70">
        <v>39</v>
      </c>
      <c r="B137" s="81" t="s">
        <v>454</v>
      </c>
      <c r="C137" s="73" t="s">
        <v>370</v>
      </c>
    </row>
    <row r="138" spans="1:3" ht="26.4" x14ac:dyDescent="0.3">
      <c r="A138" s="70">
        <v>40</v>
      </c>
      <c r="B138" s="82" t="s">
        <v>527</v>
      </c>
      <c r="C138" s="73" t="s">
        <v>370</v>
      </c>
    </row>
    <row r="139" spans="1:3" ht="26.4" x14ac:dyDescent="0.3">
      <c r="A139" s="70">
        <v>41</v>
      </c>
      <c r="B139" s="81" t="s">
        <v>528</v>
      </c>
      <c r="C139" s="73" t="s">
        <v>370</v>
      </c>
    </row>
    <row r="140" spans="1:3" ht="26.4" x14ac:dyDescent="0.3">
      <c r="A140" s="70">
        <v>42</v>
      </c>
      <c r="B140" s="82" t="s">
        <v>529</v>
      </c>
      <c r="C140" s="73" t="s">
        <v>370</v>
      </c>
    </row>
    <row r="141" spans="1:3" ht="26.4" x14ac:dyDescent="0.3">
      <c r="A141" s="70">
        <v>43</v>
      </c>
      <c r="B141" s="81" t="s">
        <v>530</v>
      </c>
      <c r="C141" s="73" t="s">
        <v>370</v>
      </c>
    </row>
    <row r="142" spans="1:3" ht="26.4" x14ac:dyDescent="0.3">
      <c r="A142" s="70">
        <v>44</v>
      </c>
      <c r="B142" s="82" t="s">
        <v>531</v>
      </c>
      <c r="C142" s="73" t="s">
        <v>370</v>
      </c>
    </row>
    <row r="143" spans="1:3" ht="26.4" x14ac:dyDescent="0.3">
      <c r="A143" s="70">
        <v>45</v>
      </c>
      <c r="B143" s="81" t="s">
        <v>532</v>
      </c>
      <c r="C143" s="73" t="s">
        <v>370</v>
      </c>
    </row>
    <row r="144" spans="1:3" ht="39.6" x14ac:dyDescent="0.3">
      <c r="A144" s="70">
        <v>46</v>
      </c>
      <c r="B144" s="82" t="s">
        <v>533</v>
      </c>
      <c r="C144" s="73" t="s">
        <v>370</v>
      </c>
    </row>
    <row r="145" spans="1:3" x14ac:dyDescent="0.3">
      <c r="A145" s="70">
        <v>47</v>
      </c>
      <c r="B145" s="81" t="s">
        <v>534</v>
      </c>
      <c r="C145" s="73" t="s">
        <v>370</v>
      </c>
    </row>
    <row r="146" spans="1:3" ht="26.4" x14ac:dyDescent="0.3">
      <c r="A146" s="70">
        <v>48</v>
      </c>
      <c r="B146" s="82" t="s">
        <v>535</v>
      </c>
      <c r="C146" s="73" t="s">
        <v>370</v>
      </c>
    </row>
    <row r="147" spans="1:3" ht="26.4" x14ac:dyDescent="0.3">
      <c r="A147" s="70">
        <v>49</v>
      </c>
      <c r="B147" s="81" t="s">
        <v>536</v>
      </c>
      <c r="C147" s="73" t="s">
        <v>370</v>
      </c>
    </row>
    <row r="148" spans="1:3" ht="26.4" x14ac:dyDescent="0.3">
      <c r="A148" s="70">
        <v>50</v>
      </c>
      <c r="B148" s="82" t="s">
        <v>537</v>
      </c>
      <c r="C148" s="73" t="s">
        <v>370</v>
      </c>
    </row>
    <row r="149" spans="1:3" ht="26.4" x14ac:dyDescent="0.3">
      <c r="A149" s="70">
        <v>51</v>
      </c>
      <c r="B149" s="81" t="s">
        <v>538</v>
      </c>
      <c r="C149" s="73" t="s">
        <v>370</v>
      </c>
    </row>
    <row r="150" spans="1:3" ht="26.4" x14ac:dyDescent="0.3">
      <c r="A150" s="70">
        <v>52</v>
      </c>
      <c r="B150" s="82" t="s">
        <v>539</v>
      </c>
      <c r="C150" s="73" t="s">
        <v>370</v>
      </c>
    </row>
    <row r="151" spans="1:3" ht="26.4" x14ac:dyDescent="0.3">
      <c r="A151" s="70">
        <v>53</v>
      </c>
      <c r="B151" s="81" t="s">
        <v>540</v>
      </c>
      <c r="C151" s="73" t="s">
        <v>370</v>
      </c>
    </row>
    <row r="152" spans="1:3" ht="26.4" x14ac:dyDescent="0.3">
      <c r="A152" s="70">
        <v>54</v>
      </c>
      <c r="B152" s="82" t="s">
        <v>541</v>
      </c>
      <c r="C152" s="73" t="s">
        <v>370</v>
      </c>
    </row>
    <row r="153" spans="1:3" x14ac:dyDescent="0.3">
      <c r="A153" s="159" t="s">
        <v>542</v>
      </c>
      <c r="B153" s="159"/>
      <c r="C153" s="87">
        <f>COUNTIF(C99:C152,"YES")</f>
        <v>1</v>
      </c>
    </row>
    <row r="154" spans="1:3" x14ac:dyDescent="0.3">
      <c r="A154" s="150" t="s">
        <v>573</v>
      </c>
      <c r="B154" s="151"/>
      <c r="C154" s="151"/>
    </row>
    <row r="155" spans="1:3" ht="26.4" x14ac:dyDescent="0.3">
      <c r="A155" s="77" t="s">
        <v>141</v>
      </c>
      <c r="B155" s="77" t="s">
        <v>174</v>
      </c>
      <c r="C155" s="77" t="s">
        <v>405</v>
      </c>
    </row>
    <row r="156" spans="1:3" ht="39.6" x14ac:dyDescent="0.3">
      <c r="A156" s="70">
        <v>1</v>
      </c>
      <c r="B156" s="81" t="s">
        <v>543</v>
      </c>
      <c r="C156" s="73" t="s">
        <v>370</v>
      </c>
    </row>
    <row r="157" spans="1:3" ht="26.4" x14ac:dyDescent="0.3">
      <c r="A157" s="70">
        <v>2</v>
      </c>
      <c r="B157" s="82" t="s">
        <v>544</v>
      </c>
      <c r="C157" s="73" t="s">
        <v>370</v>
      </c>
    </row>
    <row r="158" spans="1:3" ht="26.4" x14ac:dyDescent="0.3">
      <c r="A158" s="70">
        <v>3</v>
      </c>
      <c r="B158" s="81" t="s">
        <v>545</v>
      </c>
      <c r="C158" s="73" t="s">
        <v>370</v>
      </c>
    </row>
    <row r="159" spans="1:3" ht="26.4" x14ac:dyDescent="0.3">
      <c r="A159" s="70">
        <v>4</v>
      </c>
      <c r="B159" s="82" t="s">
        <v>546</v>
      </c>
      <c r="C159" s="73" t="s">
        <v>370</v>
      </c>
    </row>
    <row r="160" spans="1:3" ht="26.4" x14ac:dyDescent="0.3">
      <c r="A160" s="70">
        <v>5</v>
      </c>
      <c r="B160" s="81" t="s">
        <v>547</v>
      </c>
      <c r="C160" s="73" t="s">
        <v>370</v>
      </c>
    </row>
    <row r="161" spans="1:3" ht="39.6" x14ac:dyDescent="0.3">
      <c r="A161" s="70">
        <v>6</v>
      </c>
      <c r="B161" s="83" t="s">
        <v>548</v>
      </c>
      <c r="C161" s="84" t="s">
        <v>369</v>
      </c>
    </row>
    <row r="162" spans="1:3" ht="26.4" x14ac:dyDescent="0.3">
      <c r="A162" s="70">
        <v>7</v>
      </c>
      <c r="B162" s="81" t="s">
        <v>549</v>
      </c>
      <c r="C162" s="73" t="s">
        <v>370</v>
      </c>
    </row>
    <row r="163" spans="1:3" ht="26.4" x14ac:dyDescent="0.3">
      <c r="A163" s="70">
        <v>8</v>
      </c>
      <c r="B163" s="83" t="s">
        <v>550</v>
      </c>
      <c r="C163" s="84" t="s">
        <v>369</v>
      </c>
    </row>
    <row r="164" spans="1:3" ht="26.4" x14ac:dyDescent="0.3">
      <c r="A164" s="70">
        <v>9</v>
      </c>
      <c r="B164" s="81" t="s">
        <v>551</v>
      </c>
      <c r="C164" s="73" t="s">
        <v>370</v>
      </c>
    </row>
    <row r="165" spans="1:3" ht="26.4" x14ac:dyDescent="0.3">
      <c r="A165" s="70">
        <v>10</v>
      </c>
      <c r="B165" s="82" t="s">
        <v>552</v>
      </c>
      <c r="C165" s="73" t="s">
        <v>370</v>
      </c>
    </row>
    <row r="166" spans="1:3" ht="26.4" x14ac:dyDescent="0.3">
      <c r="A166" s="70">
        <v>11</v>
      </c>
      <c r="B166" s="83" t="s">
        <v>553</v>
      </c>
      <c r="C166" s="84" t="s">
        <v>369</v>
      </c>
    </row>
    <row r="167" spans="1:3" ht="26.4" x14ac:dyDescent="0.3">
      <c r="A167" s="70">
        <v>12</v>
      </c>
      <c r="B167" s="82" t="s">
        <v>554</v>
      </c>
      <c r="C167" s="73" t="s">
        <v>370</v>
      </c>
    </row>
    <row r="168" spans="1:3" ht="26.4" x14ac:dyDescent="0.3">
      <c r="A168" s="70">
        <v>13</v>
      </c>
      <c r="B168" s="81" t="s">
        <v>555</v>
      </c>
      <c r="C168" s="73" t="s">
        <v>370</v>
      </c>
    </row>
    <row r="169" spans="1:3" ht="26.4" x14ac:dyDescent="0.3">
      <c r="A169" s="70">
        <v>14</v>
      </c>
      <c r="B169" s="82" t="s">
        <v>556</v>
      </c>
      <c r="C169" s="73" t="s">
        <v>370</v>
      </c>
    </row>
    <row r="170" spans="1:3" ht="39.6" x14ac:dyDescent="0.3">
      <c r="A170" s="70">
        <v>15</v>
      </c>
      <c r="B170" s="81" t="s">
        <v>557</v>
      </c>
      <c r="C170" s="73" t="s">
        <v>370</v>
      </c>
    </row>
    <row r="171" spans="1:3" ht="26.4" x14ac:dyDescent="0.3">
      <c r="A171" s="70">
        <v>16</v>
      </c>
      <c r="B171" s="82" t="s">
        <v>558</v>
      </c>
      <c r="C171" s="73" t="s">
        <v>370</v>
      </c>
    </row>
    <row r="172" spans="1:3" ht="26.4" x14ac:dyDescent="0.3">
      <c r="A172" s="70">
        <v>17</v>
      </c>
      <c r="B172" s="81" t="s">
        <v>559</v>
      </c>
      <c r="C172" s="73" t="s">
        <v>370</v>
      </c>
    </row>
    <row r="173" spans="1:3" ht="26.4" x14ac:dyDescent="0.3">
      <c r="A173" s="70">
        <v>18</v>
      </c>
      <c r="B173" s="82" t="s">
        <v>560</v>
      </c>
      <c r="C173" s="73" t="s">
        <v>370</v>
      </c>
    </row>
    <row r="174" spans="1:3" ht="26.4" x14ac:dyDescent="0.3">
      <c r="A174" s="70">
        <v>19</v>
      </c>
      <c r="B174" s="81" t="s">
        <v>561</v>
      </c>
      <c r="C174" s="73" t="s">
        <v>370</v>
      </c>
    </row>
    <row r="175" spans="1:3" ht="39.6" x14ac:dyDescent="0.3">
      <c r="A175" s="70">
        <v>20</v>
      </c>
      <c r="B175" s="82" t="s">
        <v>562</v>
      </c>
      <c r="C175" s="73" t="s">
        <v>370</v>
      </c>
    </row>
    <row r="176" spans="1:3" ht="39.6" x14ac:dyDescent="0.3">
      <c r="A176" s="70">
        <v>21</v>
      </c>
      <c r="B176" s="81" t="s">
        <v>563</v>
      </c>
      <c r="C176" s="73" t="s">
        <v>370</v>
      </c>
    </row>
    <row r="177" spans="1:3" ht="26.4" x14ac:dyDescent="0.3">
      <c r="A177" s="70">
        <v>22</v>
      </c>
      <c r="B177" s="82" t="s">
        <v>564</v>
      </c>
      <c r="C177" s="73" t="s">
        <v>370</v>
      </c>
    </row>
    <row r="178" spans="1:3" ht="26.4" x14ac:dyDescent="0.3">
      <c r="A178" s="70">
        <v>23</v>
      </c>
      <c r="B178" s="81" t="s">
        <v>565</v>
      </c>
      <c r="C178" s="73" t="s">
        <v>370</v>
      </c>
    </row>
    <row r="179" spans="1:3" ht="26.4" x14ac:dyDescent="0.3">
      <c r="A179" s="70">
        <v>24</v>
      </c>
      <c r="B179" s="82" t="s">
        <v>566</v>
      </c>
      <c r="C179" s="73" t="s">
        <v>370</v>
      </c>
    </row>
    <row r="180" spans="1:3" ht="26.4" x14ac:dyDescent="0.3">
      <c r="A180" s="70">
        <v>25</v>
      </c>
      <c r="B180" s="81" t="s">
        <v>567</v>
      </c>
      <c r="C180" s="73" t="s">
        <v>370</v>
      </c>
    </row>
    <row r="181" spans="1:3" x14ac:dyDescent="0.3">
      <c r="A181" s="159" t="s">
        <v>572</v>
      </c>
      <c r="B181" s="159"/>
      <c r="C181" s="87">
        <f>COUNTIF(C156:C180,"YES")</f>
        <v>3</v>
      </c>
    </row>
    <row r="182" spans="1:3" x14ac:dyDescent="0.3">
      <c r="A182" s="150" t="s">
        <v>574</v>
      </c>
      <c r="B182" s="151"/>
      <c r="C182" s="151"/>
    </row>
    <row r="183" spans="1:3" ht="26.4" x14ac:dyDescent="0.3">
      <c r="A183" s="77" t="s">
        <v>141</v>
      </c>
      <c r="B183" s="77" t="s">
        <v>174</v>
      </c>
      <c r="C183" s="77" t="s">
        <v>405</v>
      </c>
    </row>
    <row r="184" spans="1:3" ht="46.8" customHeight="1" x14ac:dyDescent="0.3">
      <c r="A184" s="70">
        <v>1</v>
      </c>
      <c r="B184" s="82" t="s">
        <v>568</v>
      </c>
      <c r="C184" s="73" t="s">
        <v>370</v>
      </c>
    </row>
    <row r="185" spans="1:3" ht="30.6" customHeight="1" x14ac:dyDescent="0.3">
      <c r="A185" s="70">
        <v>2</v>
      </c>
      <c r="B185" s="83" t="s">
        <v>569</v>
      </c>
      <c r="C185" s="84" t="s">
        <v>369</v>
      </c>
    </row>
    <row r="186" spans="1:3" ht="33.6" customHeight="1" x14ac:dyDescent="0.3">
      <c r="A186" s="70">
        <v>3</v>
      </c>
      <c r="B186" s="83" t="s">
        <v>570</v>
      </c>
      <c r="C186" s="84" t="s">
        <v>369</v>
      </c>
    </row>
    <row r="187" spans="1:3" x14ac:dyDescent="0.3">
      <c r="A187" s="159" t="s">
        <v>572</v>
      </c>
      <c r="B187" s="159"/>
      <c r="C187" s="87">
        <f>COUNTIF(C184:C186,"YES")</f>
        <v>2</v>
      </c>
    </row>
    <row r="188" spans="1:3" x14ac:dyDescent="0.3">
      <c r="A188" s="160" t="s">
        <v>571</v>
      </c>
      <c r="B188" s="161"/>
      <c r="C188" s="86">
        <f>COUNTIF(C4:C187,"YES")</f>
        <v>8</v>
      </c>
    </row>
    <row r="189" spans="1:3" x14ac:dyDescent="0.3">
      <c r="A189" s="160"/>
      <c r="B189" s="161"/>
      <c r="C189" s="85">
        <f>COUNTIF(C4:C187,"NO")</f>
        <v>166</v>
      </c>
    </row>
  </sheetData>
  <mergeCells count="10">
    <mergeCell ref="A154:C154"/>
    <mergeCell ref="A188:B189"/>
    <mergeCell ref="A182:C182"/>
    <mergeCell ref="A181:B181"/>
    <mergeCell ref="A187:B187"/>
    <mergeCell ref="A2:C2"/>
    <mergeCell ref="A1:C1"/>
    <mergeCell ref="A97:C97"/>
    <mergeCell ref="A96:B96"/>
    <mergeCell ref="A153:B15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C52"/>
  <sheetViews>
    <sheetView workbookViewId="0">
      <selection activeCell="C8" sqref="C8"/>
    </sheetView>
  </sheetViews>
  <sheetFormatPr defaultRowHeight="14.4" x14ac:dyDescent="0.3"/>
  <cols>
    <col min="1" max="1" width="5" customWidth="1"/>
    <col min="2" max="2" width="58" customWidth="1"/>
    <col min="3" max="3" width="14" customWidth="1"/>
  </cols>
  <sheetData>
    <row r="1" spans="1:3" ht="28.05" customHeight="1" x14ac:dyDescent="0.3">
      <c r="A1" s="162" t="s">
        <v>657</v>
      </c>
      <c r="B1" s="141"/>
      <c r="C1" s="141"/>
    </row>
    <row r="2" spans="1:3" ht="30" customHeight="1" x14ac:dyDescent="0.3">
      <c r="A2" s="44" t="s">
        <v>141</v>
      </c>
      <c r="B2" s="44" t="s">
        <v>174</v>
      </c>
      <c r="C2" s="102" t="s">
        <v>405</v>
      </c>
    </row>
    <row r="3" spans="1:3" ht="25.95" customHeight="1" x14ac:dyDescent="0.3">
      <c r="A3" s="10">
        <v>1</v>
      </c>
      <c r="B3" s="6"/>
      <c r="C3" s="33"/>
    </row>
    <row r="4" spans="1:3" ht="25.95" customHeight="1" x14ac:dyDescent="0.3">
      <c r="A4" s="12">
        <v>2</v>
      </c>
      <c r="B4" s="3"/>
      <c r="C4" s="33"/>
    </row>
    <row r="5" spans="1:3" ht="25.95" customHeight="1" x14ac:dyDescent="0.3">
      <c r="A5" s="10">
        <v>3</v>
      </c>
      <c r="B5" s="6"/>
      <c r="C5" s="33"/>
    </row>
    <row r="6" spans="1:3" ht="25.95" customHeight="1" x14ac:dyDescent="0.3">
      <c r="A6" s="12">
        <v>4</v>
      </c>
      <c r="B6" s="3"/>
      <c r="C6" s="33"/>
    </row>
    <row r="7" spans="1:3" ht="25.95" customHeight="1" x14ac:dyDescent="0.3">
      <c r="A7" s="10">
        <v>5</v>
      </c>
      <c r="B7" s="6"/>
      <c r="C7" s="33"/>
    </row>
    <row r="8" spans="1:3" ht="25.95" customHeight="1" x14ac:dyDescent="0.3">
      <c r="A8" s="12">
        <v>6</v>
      </c>
      <c r="B8" s="3"/>
      <c r="C8" s="33"/>
    </row>
    <row r="9" spans="1:3" ht="25.95" customHeight="1" x14ac:dyDescent="0.3">
      <c r="A9" s="10">
        <v>7</v>
      </c>
      <c r="B9" s="6"/>
      <c r="C9" s="33"/>
    </row>
    <row r="10" spans="1:3" ht="25.95" customHeight="1" x14ac:dyDescent="0.3">
      <c r="A10" s="12">
        <v>8</v>
      </c>
      <c r="B10" s="3"/>
      <c r="C10" s="33"/>
    </row>
    <row r="11" spans="1:3" ht="25.95" customHeight="1" x14ac:dyDescent="0.3">
      <c r="A11" s="10">
        <v>9</v>
      </c>
      <c r="B11" s="6"/>
      <c r="C11" s="33"/>
    </row>
    <row r="12" spans="1:3" ht="25.95" customHeight="1" x14ac:dyDescent="0.3">
      <c r="A12" s="12">
        <v>10</v>
      </c>
      <c r="B12" s="3"/>
      <c r="C12" s="33"/>
    </row>
    <row r="13" spans="1:3" ht="25.95" customHeight="1" x14ac:dyDescent="0.3">
      <c r="A13" s="10">
        <v>11</v>
      </c>
      <c r="B13" s="6"/>
      <c r="C13" s="33"/>
    </row>
    <row r="14" spans="1:3" ht="25.95" customHeight="1" x14ac:dyDescent="0.3">
      <c r="A14" s="12">
        <v>12</v>
      </c>
      <c r="B14" s="3"/>
      <c r="C14" s="33"/>
    </row>
    <row r="15" spans="1:3" ht="25.95" customHeight="1" x14ac:dyDescent="0.3">
      <c r="A15" s="10">
        <v>13</v>
      </c>
      <c r="B15" s="6"/>
      <c r="C15" s="33"/>
    </row>
    <row r="16" spans="1:3" ht="25.95" customHeight="1" x14ac:dyDescent="0.3">
      <c r="A16" s="12">
        <v>14</v>
      </c>
      <c r="B16" s="3"/>
      <c r="C16" s="33"/>
    </row>
    <row r="17" spans="1:3" ht="25.95" customHeight="1" x14ac:dyDescent="0.3">
      <c r="A17" s="10">
        <v>15</v>
      </c>
      <c r="B17" s="6"/>
      <c r="C17" s="33"/>
    </row>
    <row r="18" spans="1:3" ht="25.95" customHeight="1" x14ac:dyDescent="0.3">
      <c r="A18" s="12">
        <v>16</v>
      </c>
      <c r="B18" s="3"/>
      <c r="C18" s="33"/>
    </row>
    <row r="19" spans="1:3" ht="25.95" customHeight="1" x14ac:dyDescent="0.3">
      <c r="A19" s="10">
        <v>17</v>
      </c>
      <c r="B19" s="6"/>
      <c r="C19" s="33"/>
    </row>
    <row r="20" spans="1:3" ht="25.95" customHeight="1" x14ac:dyDescent="0.3">
      <c r="A20" s="12">
        <v>18</v>
      </c>
      <c r="B20" s="3"/>
      <c r="C20" s="33"/>
    </row>
    <row r="21" spans="1:3" ht="25.95" customHeight="1" x14ac:dyDescent="0.3">
      <c r="A21" s="10">
        <v>19</v>
      </c>
      <c r="B21" s="6"/>
      <c r="C21" s="33"/>
    </row>
    <row r="22" spans="1:3" ht="25.95" customHeight="1" x14ac:dyDescent="0.3">
      <c r="A22" s="12">
        <v>20</v>
      </c>
      <c r="B22" s="3"/>
      <c r="C22" s="33"/>
    </row>
    <row r="23" spans="1:3" ht="25.95" customHeight="1" x14ac:dyDescent="0.3">
      <c r="A23" s="10">
        <v>21</v>
      </c>
      <c r="B23" s="6"/>
      <c r="C23" s="33"/>
    </row>
    <row r="24" spans="1:3" ht="25.95" customHeight="1" x14ac:dyDescent="0.3">
      <c r="A24" s="12">
        <v>22</v>
      </c>
      <c r="B24" s="3"/>
      <c r="C24" s="33"/>
    </row>
    <row r="25" spans="1:3" ht="25.95" customHeight="1" x14ac:dyDescent="0.3">
      <c r="A25" s="10">
        <v>23</v>
      </c>
      <c r="B25" s="6"/>
      <c r="C25" s="33"/>
    </row>
    <row r="26" spans="1:3" ht="25.95" customHeight="1" x14ac:dyDescent="0.3">
      <c r="A26" s="12">
        <v>24</v>
      </c>
      <c r="B26" s="3"/>
      <c r="C26" s="33"/>
    </row>
    <row r="27" spans="1:3" ht="25.95" customHeight="1" x14ac:dyDescent="0.3">
      <c r="A27" s="10">
        <v>25</v>
      </c>
      <c r="B27" s="6"/>
      <c r="C27" s="33"/>
    </row>
    <row r="28" spans="1:3" ht="25.95" customHeight="1" x14ac:dyDescent="0.3">
      <c r="A28" s="12">
        <v>26</v>
      </c>
      <c r="B28" s="3"/>
      <c r="C28" s="33"/>
    </row>
    <row r="29" spans="1:3" ht="25.95" customHeight="1" x14ac:dyDescent="0.3">
      <c r="A29" s="10">
        <v>27</v>
      </c>
      <c r="B29" s="6"/>
      <c r="C29" s="33"/>
    </row>
    <row r="30" spans="1:3" ht="25.95" customHeight="1" x14ac:dyDescent="0.3">
      <c r="A30" s="12">
        <v>28</v>
      </c>
      <c r="B30" s="3"/>
      <c r="C30" s="33"/>
    </row>
    <row r="31" spans="1:3" ht="25.95" customHeight="1" x14ac:dyDescent="0.3">
      <c r="A31" s="10">
        <v>29</v>
      </c>
      <c r="B31" s="6"/>
      <c r="C31" s="33"/>
    </row>
    <row r="32" spans="1:3" ht="25.95" customHeight="1" x14ac:dyDescent="0.3">
      <c r="A32" s="12">
        <v>30</v>
      </c>
      <c r="B32" s="3"/>
      <c r="C32" s="33"/>
    </row>
    <row r="33" spans="1:3" ht="25.95" customHeight="1" x14ac:dyDescent="0.3">
      <c r="A33" s="10">
        <v>31</v>
      </c>
      <c r="B33" s="6"/>
      <c r="C33" s="33"/>
    </row>
    <row r="34" spans="1:3" ht="25.95" customHeight="1" x14ac:dyDescent="0.3">
      <c r="A34" s="12">
        <v>32</v>
      </c>
      <c r="B34" s="3"/>
      <c r="C34" s="33"/>
    </row>
    <row r="35" spans="1:3" ht="25.95" customHeight="1" x14ac:dyDescent="0.3">
      <c r="A35" s="10">
        <v>33</v>
      </c>
      <c r="B35" s="6"/>
      <c r="C35" s="33"/>
    </row>
    <row r="36" spans="1:3" ht="25.95" customHeight="1" x14ac:dyDescent="0.3">
      <c r="A36" s="12">
        <v>34</v>
      </c>
      <c r="B36" s="3"/>
      <c r="C36" s="33"/>
    </row>
    <row r="37" spans="1:3" ht="25.95" customHeight="1" x14ac:dyDescent="0.3">
      <c r="A37" s="10">
        <v>35</v>
      </c>
      <c r="B37" s="6"/>
      <c r="C37" s="33"/>
    </row>
    <row r="38" spans="1:3" ht="25.95" customHeight="1" x14ac:dyDescent="0.3">
      <c r="A38" s="12">
        <v>36</v>
      </c>
      <c r="B38" s="3"/>
      <c r="C38" s="33"/>
    </row>
    <row r="39" spans="1:3" ht="25.95" customHeight="1" x14ac:dyDescent="0.3">
      <c r="A39" s="10">
        <v>37</v>
      </c>
      <c r="B39" s="6"/>
      <c r="C39" s="33"/>
    </row>
    <row r="40" spans="1:3" ht="25.95" customHeight="1" x14ac:dyDescent="0.3">
      <c r="A40" s="12">
        <v>38</v>
      </c>
      <c r="B40" s="3"/>
      <c r="C40" s="33"/>
    </row>
    <row r="41" spans="1:3" ht="25.95" customHeight="1" x14ac:dyDescent="0.3">
      <c r="A41" s="10">
        <v>39</v>
      </c>
      <c r="B41" s="6"/>
      <c r="C41" s="33"/>
    </row>
    <row r="42" spans="1:3" ht="25.95" customHeight="1" x14ac:dyDescent="0.3">
      <c r="A42" s="12">
        <v>40</v>
      </c>
      <c r="B42" s="3"/>
      <c r="C42" s="33"/>
    </row>
    <row r="43" spans="1:3" ht="25.95" customHeight="1" x14ac:dyDescent="0.3">
      <c r="A43" s="10">
        <v>41</v>
      </c>
      <c r="B43" s="6"/>
      <c r="C43" s="33"/>
    </row>
    <row r="44" spans="1:3" ht="25.95" customHeight="1" x14ac:dyDescent="0.3">
      <c r="A44" s="12">
        <v>42</v>
      </c>
      <c r="B44" s="3"/>
      <c r="C44" s="33"/>
    </row>
    <row r="45" spans="1:3" ht="25.95" customHeight="1" x14ac:dyDescent="0.3">
      <c r="A45" s="10">
        <v>43</v>
      </c>
      <c r="B45" s="6"/>
      <c r="C45" s="33"/>
    </row>
    <row r="46" spans="1:3" ht="25.95" customHeight="1" x14ac:dyDescent="0.3">
      <c r="A46" s="12">
        <v>44</v>
      </c>
      <c r="B46" s="3"/>
      <c r="C46" s="33"/>
    </row>
    <row r="47" spans="1:3" ht="25.95" customHeight="1" x14ac:dyDescent="0.3">
      <c r="A47" s="10">
        <v>45</v>
      </c>
      <c r="B47" s="6"/>
      <c r="C47" s="33"/>
    </row>
    <row r="48" spans="1:3" ht="25.95" customHeight="1" x14ac:dyDescent="0.3">
      <c r="A48" s="12">
        <v>46</v>
      </c>
      <c r="B48" s="3"/>
      <c r="C48" s="33"/>
    </row>
    <row r="49" spans="1:3" ht="25.95" customHeight="1" x14ac:dyDescent="0.3">
      <c r="A49" s="10">
        <v>47</v>
      </c>
      <c r="B49" s="6"/>
      <c r="C49" s="33"/>
    </row>
    <row r="50" spans="1:3" ht="25.95" customHeight="1" x14ac:dyDescent="0.3">
      <c r="A50" s="12">
        <v>48</v>
      </c>
      <c r="B50" s="3"/>
      <c r="C50" s="33"/>
    </row>
    <row r="51" spans="1:3" ht="25.95" customHeight="1" x14ac:dyDescent="0.3">
      <c r="A51" s="10">
        <v>49</v>
      </c>
      <c r="B51" s="6"/>
      <c r="C51" s="33"/>
    </row>
    <row r="52" spans="1:3" ht="25.95" customHeight="1" x14ac:dyDescent="0.3">
      <c r="A52" s="12">
        <v>50</v>
      </c>
      <c r="B52" s="3"/>
      <c r="C52" s="33"/>
    </row>
  </sheetData>
  <mergeCells count="1">
    <mergeCell ref="A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C60"/>
  <sheetViews>
    <sheetView topLeftCell="A38" zoomScale="70" zoomScaleNormal="70" workbookViewId="0">
      <selection activeCell="A55" sqref="A55:C55"/>
    </sheetView>
  </sheetViews>
  <sheetFormatPr defaultRowHeight="14.4" x14ac:dyDescent="0.3"/>
  <cols>
    <col min="1" max="1" width="5" customWidth="1"/>
    <col min="2" max="2" width="58" customWidth="1"/>
    <col min="3" max="3" width="14" customWidth="1"/>
  </cols>
  <sheetData>
    <row r="1" spans="1:3" ht="30" customHeight="1" x14ac:dyDescent="0.3">
      <c r="A1" s="163" t="s">
        <v>622</v>
      </c>
      <c r="B1" s="141"/>
      <c r="C1" s="141"/>
    </row>
    <row r="2" spans="1:3" ht="25.95" customHeight="1" x14ac:dyDescent="0.3">
      <c r="A2" s="150" t="s">
        <v>645</v>
      </c>
      <c r="B2" s="151"/>
      <c r="C2" s="151"/>
    </row>
    <row r="3" spans="1:3" ht="25.95" customHeight="1" x14ac:dyDescent="0.3">
      <c r="A3" s="61" t="s">
        <v>141</v>
      </c>
      <c r="B3" s="61" t="s">
        <v>174</v>
      </c>
      <c r="C3" s="91" t="s">
        <v>405</v>
      </c>
    </row>
    <row r="4" spans="1:3" ht="25.95" customHeight="1" x14ac:dyDescent="0.3">
      <c r="A4" s="10">
        <v>1</v>
      </c>
      <c r="B4" s="71" t="s">
        <v>577</v>
      </c>
      <c r="C4" s="73" t="s">
        <v>370</v>
      </c>
    </row>
    <row r="5" spans="1:3" ht="25.95" customHeight="1" x14ac:dyDescent="0.3">
      <c r="A5" s="12">
        <v>2</v>
      </c>
      <c r="B5" s="88" t="s">
        <v>578</v>
      </c>
      <c r="C5" s="73" t="s">
        <v>370</v>
      </c>
    </row>
    <row r="6" spans="1:3" ht="25.95" customHeight="1" x14ac:dyDescent="0.3">
      <c r="A6" s="10">
        <v>3</v>
      </c>
      <c r="B6" s="71" t="s">
        <v>579</v>
      </c>
      <c r="C6" s="73" t="s">
        <v>370</v>
      </c>
    </row>
    <row r="7" spans="1:3" ht="25.95" customHeight="1" x14ac:dyDescent="0.3">
      <c r="A7" s="12">
        <v>4</v>
      </c>
      <c r="B7" s="88" t="s">
        <v>580</v>
      </c>
      <c r="C7" s="73" t="s">
        <v>370</v>
      </c>
    </row>
    <row r="8" spans="1:3" ht="25.95" customHeight="1" x14ac:dyDescent="0.3">
      <c r="A8" s="10">
        <v>5</v>
      </c>
      <c r="B8" s="71" t="s">
        <v>581</v>
      </c>
      <c r="C8" s="73" t="s">
        <v>370</v>
      </c>
    </row>
    <row r="9" spans="1:3" ht="25.95" customHeight="1" x14ac:dyDescent="0.3">
      <c r="A9" s="12">
        <v>6</v>
      </c>
      <c r="B9" s="88" t="s">
        <v>582</v>
      </c>
      <c r="C9" s="73" t="s">
        <v>370</v>
      </c>
    </row>
    <row r="10" spans="1:3" ht="25.95" customHeight="1" x14ac:dyDescent="0.3">
      <c r="A10" s="10">
        <v>7</v>
      </c>
      <c r="B10" s="71" t="s">
        <v>583</v>
      </c>
      <c r="C10" s="73" t="s">
        <v>370</v>
      </c>
    </row>
    <row r="11" spans="1:3" ht="25.95" customHeight="1" x14ac:dyDescent="0.3">
      <c r="A11" s="12">
        <v>8</v>
      </c>
      <c r="B11" s="88" t="s">
        <v>584</v>
      </c>
      <c r="C11" s="73" t="s">
        <v>370</v>
      </c>
    </row>
    <row r="12" spans="1:3" ht="25.95" customHeight="1" x14ac:dyDescent="0.3">
      <c r="A12" s="10">
        <v>9</v>
      </c>
      <c r="B12" s="71" t="s">
        <v>585</v>
      </c>
      <c r="C12" s="73" t="s">
        <v>370</v>
      </c>
    </row>
    <row r="13" spans="1:3" ht="25.95" customHeight="1" x14ac:dyDescent="0.3">
      <c r="A13" s="12">
        <v>10</v>
      </c>
      <c r="B13" s="88" t="s">
        <v>586</v>
      </c>
      <c r="C13" s="73" t="s">
        <v>370</v>
      </c>
    </row>
    <row r="14" spans="1:3" ht="25.95" customHeight="1" x14ac:dyDescent="0.3">
      <c r="A14" s="10">
        <v>11</v>
      </c>
      <c r="B14" s="71" t="s">
        <v>587</v>
      </c>
      <c r="C14" s="73" t="s">
        <v>370</v>
      </c>
    </row>
    <row r="15" spans="1:3" ht="25.95" customHeight="1" x14ac:dyDescent="0.3">
      <c r="A15" s="12">
        <v>12</v>
      </c>
      <c r="B15" s="88" t="s">
        <v>588</v>
      </c>
      <c r="C15" s="73" t="s">
        <v>370</v>
      </c>
    </row>
    <row r="16" spans="1:3" ht="25.95" customHeight="1" x14ac:dyDescent="0.3">
      <c r="A16" s="10">
        <v>13</v>
      </c>
      <c r="B16" s="71" t="s">
        <v>589</v>
      </c>
      <c r="C16" s="73" t="s">
        <v>370</v>
      </c>
    </row>
    <row r="17" spans="1:3" ht="25.95" customHeight="1" x14ac:dyDescent="0.3">
      <c r="A17" s="12">
        <v>14</v>
      </c>
      <c r="B17" s="88" t="s">
        <v>590</v>
      </c>
      <c r="C17" s="73" t="s">
        <v>370</v>
      </c>
    </row>
    <row r="18" spans="1:3" ht="25.95" customHeight="1" x14ac:dyDescent="0.3">
      <c r="A18" s="10">
        <v>15</v>
      </c>
      <c r="B18" s="71" t="s">
        <v>591</v>
      </c>
      <c r="C18" s="73" t="s">
        <v>370</v>
      </c>
    </row>
    <row r="19" spans="1:3" ht="25.95" customHeight="1" x14ac:dyDescent="0.3">
      <c r="A19" s="12">
        <v>16</v>
      </c>
      <c r="B19" s="88" t="s">
        <v>584</v>
      </c>
      <c r="C19" s="73" t="s">
        <v>370</v>
      </c>
    </row>
    <row r="20" spans="1:3" ht="25.95" customHeight="1" x14ac:dyDescent="0.3">
      <c r="A20" s="10">
        <v>17</v>
      </c>
      <c r="B20" s="71" t="s">
        <v>592</v>
      </c>
      <c r="C20" s="73" t="s">
        <v>370</v>
      </c>
    </row>
    <row r="21" spans="1:3" ht="25.95" customHeight="1" x14ac:dyDescent="0.3">
      <c r="A21" s="12">
        <v>18</v>
      </c>
      <c r="B21" s="89" t="s">
        <v>593</v>
      </c>
      <c r="C21" s="90" t="s">
        <v>369</v>
      </c>
    </row>
    <row r="22" spans="1:3" ht="25.95" customHeight="1" x14ac:dyDescent="0.3">
      <c r="A22" s="10">
        <v>19</v>
      </c>
      <c r="B22" s="71" t="s">
        <v>589</v>
      </c>
      <c r="C22" s="73" t="s">
        <v>370</v>
      </c>
    </row>
    <row r="23" spans="1:3" ht="25.95" customHeight="1" x14ac:dyDescent="0.3">
      <c r="A23" s="12">
        <v>20</v>
      </c>
      <c r="B23" s="88" t="s">
        <v>594</v>
      </c>
      <c r="C23" s="73" t="s">
        <v>370</v>
      </c>
    </row>
    <row r="24" spans="1:3" ht="25.95" customHeight="1" x14ac:dyDescent="0.3">
      <c r="A24" s="10">
        <v>21</v>
      </c>
      <c r="B24" s="71" t="s">
        <v>595</v>
      </c>
      <c r="C24" s="73" t="s">
        <v>370</v>
      </c>
    </row>
    <row r="25" spans="1:3" ht="25.95" customHeight="1" x14ac:dyDescent="0.3">
      <c r="A25" s="12">
        <v>22</v>
      </c>
      <c r="B25" s="88" t="s">
        <v>596</v>
      </c>
      <c r="C25" s="73" t="s">
        <v>370</v>
      </c>
    </row>
    <row r="26" spans="1:3" ht="25.95" customHeight="1" x14ac:dyDescent="0.3">
      <c r="A26" s="10">
        <v>23</v>
      </c>
      <c r="B26" s="71" t="s">
        <v>597</v>
      </c>
      <c r="C26" s="73" t="s">
        <v>370</v>
      </c>
    </row>
    <row r="27" spans="1:3" ht="25.95" customHeight="1" x14ac:dyDescent="0.3">
      <c r="A27" s="12">
        <v>24</v>
      </c>
      <c r="B27" s="88" t="s">
        <v>598</v>
      </c>
      <c r="C27" s="73" t="s">
        <v>370</v>
      </c>
    </row>
    <row r="28" spans="1:3" ht="25.95" customHeight="1" x14ac:dyDescent="0.3">
      <c r="A28" s="10">
        <v>25</v>
      </c>
      <c r="B28" s="71" t="s">
        <v>599</v>
      </c>
      <c r="C28" s="73" t="s">
        <v>370</v>
      </c>
    </row>
    <row r="29" spans="1:3" ht="25.95" customHeight="1" x14ac:dyDescent="0.3">
      <c r="A29" s="164" t="s">
        <v>572</v>
      </c>
      <c r="B29" s="165"/>
      <c r="C29" s="87">
        <f>COUNTIF(C4:C28,"YES")</f>
        <v>1</v>
      </c>
    </row>
    <row r="30" spans="1:3" ht="25.95" customHeight="1" x14ac:dyDescent="0.3">
      <c r="A30" s="150" t="s">
        <v>646</v>
      </c>
      <c r="B30" s="151"/>
      <c r="C30" s="151"/>
    </row>
    <row r="31" spans="1:3" ht="25.95" customHeight="1" x14ac:dyDescent="0.3">
      <c r="A31" s="61" t="s">
        <v>141</v>
      </c>
      <c r="B31" s="61" t="s">
        <v>174</v>
      </c>
      <c r="C31" s="61" t="s">
        <v>405</v>
      </c>
    </row>
    <row r="32" spans="1:3" ht="25.95" customHeight="1" x14ac:dyDescent="0.3">
      <c r="A32" s="10">
        <v>1</v>
      </c>
      <c r="B32" s="88" t="s">
        <v>600</v>
      </c>
      <c r="C32" s="73" t="s">
        <v>370</v>
      </c>
    </row>
    <row r="33" spans="1:3" ht="25.95" customHeight="1" x14ac:dyDescent="0.3">
      <c r="A33" s="12">
        <v>2</v>
      </c>
      <c r="B33" s="71" t="s">
        <v>601</v>
      </c>
      <c r="C33" s="73" t="s">
        <v>370</v>
      </c>
    </row>
    <row r="34" spans="1:3" ht="25.95" customHeight="1" x14ac:dyDescent="0.3">
      <c r="A34" s="10">
        <v>3</v>
      </c>
      <c r="B34" s="88" t="s">
        <v>602</v>
      </c>
      <c r="C34" s="73" t="s">
        <v>370</v>
      </c>
    </row>
    <row r="35" spans="1:3" ht="25.95" customHeight="1" x14ac:dyDescent="0.3">
      <c r="A35" s="12">
        <v>4</v>
      </c>
      <c r="B35" s="71" t="s">
        <v>603</v>
      </c>
      <c r="C35" s="73" t="s">
        <v>370</v>
      </c>
    </row>
    <row r="36" spans="1:3" ht="25.95" customHeight="1" x14ac:dyDescent="0.3">
      <c r="A36" s="10">
        <v>5</v>
      </c>
      <c r="B36" s="88" t="s">
        <v>604</v>
      </c>
      <c r="C36" s="73" t="s">
        <v>370</v>
      </c>
    </row>
    <row r="37" spans="1:3" ht="25.95" customHeight="1" x14ac:dyDescent="0.3">
      <c r="A37" s="164" t="s">
        <v>621</v>
      </c>
      <c r="B37" s="165"/>
      <c r="C37" s="87">
        <f>COUNTIF(C32:C36,"YES")</f>
        <v>0</v>
      </c>
    </row>
    <row r="38" spans="1:3" ht="25.95" customHeight="1" x14ac:dyDescent="0.3">
      <c r="A38" s="150" t="s">
        <v>649</v>
      </c>
      <c r="B38" s="151"/>
      <c r="C38" s="151"/>
    </row>
    <row r="39" spans="1:3" ht="25.95" customHeight="1" x14ac:dyDescent="0.3">
      <c r="A39" s="61" t="s">
        <v>141</v>
      </c>
      <c r="B39" s="61" t="s">
        <v>174</v>
      </c>
      <c r="C39" s="61" t="s">
        <v>405</v>
      </c>
    </row>
    <row r="40" spans="1:3" ht="25.95" customHeight="1" x14ac:dyDescent="0.3">
      <c r="A40" s="10">
        <v>1</v>
      </c>
      <c r="B40" s="71" t="s">
        <v>605</v>
      </c>
      <c r="C40" s="73" t="s">
        <v>370</v>
      </c>
    </row>
    <row r="41" spans="1:3" ht="25.95" customHeight="1" x14ac:dyDescent="0.3">
      <c r="A41" s="12">
        <v>2</v>
      </c>
      <c r="B41" s="88" t="s">
        <v>580</v>
      </c>
      <c r="C41" s="73" t="s">
        <v>370</v>
      </c>
    </row>
    <row r="42" spans="1:3" ht="25.95" customHeight="1" x14ac:dyDescent="0.3">
      <c r="A42" s="10">
        <v>3</v>
      </c>
      <c r="B42" s="71" t="s">
        <v>606</v>
      </c>
      <c r="C42" s="73" t="s">
        <v>370</v>
      </c>
    </row>
    <row r="43" spans="1:3" ht="25.95" customHeight="1" x14ac:dyDescent="0.3">
      <c r="A43" s="12">
        <v>4</v>
      </c>
      <c r="B43" s="89" t="s">
        <v>607</v>
      </c>
      <c r="C43" s="90" t="s">
        <v>369</v>
      </c>
    </row>
    <row r="44" spans="1:3" ht="25.95" customHeight="1" x14ac:dyDescent="0.3">
      <c r="A44" s="10">
        <v>5</v>
      </c>
      <c r="B44" s="71" t="s">
        <v>608</v>
      </c>
      <c r="C44" s="73" t="s">
        <v>370</v>
      </c>
    </row>
    <row r="45" spans="1:3" ht="25.95" customHeight="1" x14ac:dyDescent="0.3">
      <c r="A45" s="12">
        <v>6</v>
      </c>
      <c r="B45" s="88" t="s">
        <v>609</v>
      </c>
      <c r="C45" s="73" t="s">
        <v>370</v>
      </c>
    </row>
    <row r="46" spans="1:3" ht="25.95" customHeight="1" x14ac:dyDescent="0.3">
      <c r="A46" s="10">
        <v>7</v>
      </c>
      <c r="B46" s="71" t="s">
        <v>610</v>
      </c>
      <c r="C46" s="73" t="s">
        <v>370</v>
      </c>
    </row>
    <row r="47" spans="1:3" ht="25.95" customHeight="1" x14ac:dyDescent="0.3">
      <c r="A47" s="12">
        <v>8</v>
      </c>
      <c r="B47" s="89" t="s">
        <v>611</v>
      </c>
      <c r="C47" s="90" t="s">
        <v>369</v>
      </c>
    </row>
    <row r="48" spans="1:3" ht="25.95" customHeight="1" x14ac:dyDescent="0.3">
      <c r="A48" s="10">
        <v>9</v>
      </c>
      <c r="B48" s="71" t="s">
        <v>612</v>
      </c>
      <c r="C48" s="73" t="s">
        <v>370</v>
      </c>
    </row>
    <row r="49" spans="1:3" ht="25.95" customHeight="1" x14ac:dyDescent="0.3">
      <c r="A49" s="12">
        <v>10</v>
      </c>
      <c r="B49" s="88" t="s">
        <v>613</v>
      </c>
      <c r="C49" s="73" t="s">
        <v>370</v>
      </c>
    </row>
    <row r="50" spans="1:3" ht="25.95" customHeight="1" x14ac:dyDescent="0.3">
      <c r="A50" s="10">
        <v>11</v>
      </c>
      <c r="B50" s="71" t="s">
        <v>614</v>
      </c>
      <c r="C50" s="73" t="s">
        <v>370</v>
      </c>
    </row>
    <row r="51" spans="1:3" ht="25.95" customHeight="1" x14ac:dyDescent="0.3">
      <c r="A51" s="12">
        <v>12</v>
      </c>
      <c r="B51" s="89" t="s">
        <v>615</v>
      </c>
      <c r="C51" s="90" t="s">
        <v>369</v>
      </c>
    </row>
    <row r="52" spans="1:3" ht="33" customHeight="1" x14ac:dyDescent="0.3">
      <c r="A52" s="10">
        <v>13</v>
      </c>
      <c r="B52" s="89" t="s">
        <v>616</v>
      </c>
      <c r="C52" s="90" t="s">
        <v>369</v>
      </c>
    </row>
    <row r="53" spans="1:3" ht="26.4" x14ac:dyDescent="0.3">
      <c r="A53" s="12">
        <v>14</v>
      </c>
      <c r="B53" s="89" t="s">
        <v>617</v>
      </c>
      <c r="C53" s="90" t="s">
        <v>369</v>
      </c>
    </row>
    <row r="54" spans="1:3" x14ac:dyDescent="0.3">
      <c r="A54" s="164" t="s">
        <v>620</v>
      </c>
      <c r="B54" s="165"/>
      <c r="C54" s="87">
        <f>COUNTIF(C40:C53,"YES")</f>
        <v>5</v>
      </c>
    </row>
    <row r="55" spans="1:3" x14ac:dyDescent="0.3">
      <c r="A55" s="150" t="s">
        <v>574</v>
      </c>
      <c r="B55" s="151"/>
      <c r="C55" s="151"/>
    </row>
    <row r="56" spans="1:3" ht="26.4" x14ac:dyDescent="0.3">
      <c r="A56" s="61" t="s">
        <v>141</v>
      </c>
      <c r="B56" s="61" t="s">
        <v>174</v>
      </c>
      <c r="C56" s="61" t="s">
        <v>405</v>
      </c>
    </row>
    <row r="57" spans="1:3" ht="26.4" x14ac:dyDescent="0.3">
      <c r="A57" s="12">
        <v>1</v>
      </c>
      <c r="B57" s="89" t="s">
        <v>618</v>
      </c>
      <c r="C57" s="90" t="s">
        <v>369</v>
      </c>
    </row>
    <row r="58" spans="1:3" x14ac:dyDescent="0.3">
      <c r="A58" s="164" t="s">
        <v>374</v>
      </c>
      <c r="B58" s="165"/>
      <c r="C58" s="87">
        <f>COUNTIF(C57,"YES")</f>
        <v>1</v>
      </c>
    </row>
    <row r="59" spans="1:3" x14ac:dyDescent="0.3">
      <c r="A59" s="166" t="s">
        <v>619</v>
      </c>
      <c r="B59" s="167"/>
      <c r="C59" s="86">
        <f>COUNTIF(C4:C57,"YES")</f>
        <v>7</v>
      </c>
    </row>
    <row r="60" spans="1:3" x14ac:dyDescent="0.3">
      <c r="A60" s="166"/>
      <c r="B60" s="167"/>
      <c r="C60" s="85">
        <f>COUNTIF(C4:C57,"NO")</f>
        <v>38</v>
      </c>
    </row>
  </sheetData>
  <mergeCells count="10">
    <mergeCell ref="A38:C38"/>
    <mergeCell ref="A54:B54"/>
    <mergeCell ref="A59:B60"/>
    <mergeCell ref="A55:C55"/>
    <mergeCell ref="A58:B58"/>
    <mergeCell ref="A1:C1"/>
    <mergeCell ref="A29:B29"/>
    <mergeCell ref="A30:C30"/>
    <mergeCell ref="A37:B37"/>
    <mergeCell ref="A2:C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249977111117893"/>
  </sheetPr>
  <dimension ref="A1:C52"/>
  <sheetViews>
    <sheetView topLeftCell="A12" workbookViewId="0">
      <selection activeCell="C8" sqref="C8"/>
    </sheetView>
  </sheetViews>
  <sheetFormatPr defaultRowHeight="14.4" x14ac:dyDescent="0.3"/>
  <cols>
    <col min="1" max="1" width="5" customWidth="1"/>
    <col min="2" max="2" width="58" customWidth="1"/>
    <col min="3" max="3" width="14" customWidth="1"/>
  </cols>
  <sheetData>
    <row r="1" spans="1:3" ht="28.05" customHeight="1" x14ac:dyDescent="0.3">
      <c r="A1" s="168" t="s">
        <v>658</v>
      </c>
      <c r="B1" s="141"/>
      <c r="C1" s="141"/>
    </row>
    <row r="2" spans="1:3" ht="30" customHeight="1" x14ac:dyDescent="0.3">
      <c r="A2" s="62" t="s">
        <v>141</v>
      </c>
      <c r="B2" s="62" t="s">
        <v>174</v>
      </c>
      <c r="C2" s="103" t="s">
        <v>405</v>
      </c>
    </row>
    <row r="3" spans="1:3" ht="25.95" customHeight="1" x14ac:dyDescent="0.3">
      <c r="A3" s="10">
        <v>1</v>
      </c>
      <c r="B3" s="6"/>
      <c r="C3" s="33"/>
    </row>
    <row r="4" spans="1:3" ht="25.95" customHeight="1" x14ac:dyDescent="0.3">
      <c r="A4" s="12">
        <v>2</v>
      </c>
      <c r="B4" s="3"/>
      <c r="C4" s="33"/>
    </row>
    <row r="5" spans="1:3" ht="25.95" customHeight="1" x14ac:dyDescent="0.3">
      <c r="A5" s="10">
        <v>3</v>
      </c>
      <c r="B5" s="6"/>
      <c r="C5" s="33"/>
    </row>
    <row r="6" spans="1:3" ht="25.95" customHeight="1" x14ac:dyDescent="0.3">
      <c r="A6" s="12">
        <v>4</v>
      </c>
      <c r="B6" s="3"/>
      <c r="C6" s="33"/>
    </row>
    <row r="7" spans="1:3" ht="25.95" customHeight="1" x14ac:dyDescent="0.3">
      <c r="A7" s="10">
        <v>5</v>
      </c>
      <c r="B7" s="6"/>
      <c r="C7" s="33"/>
    </row>
    <row r="8" spans="1:3" ht="25.95" customHeight="1" x14ac:dyDescent="0.3">
      <c r="A8" s="12">
        <v>6</v>
      </c>
      <c r="B8" s="3"/>
      <c r="C8" s="33"/>
    </row>
    <row r="9" spans="1:3" ht="25.95" customHeight="1" x14ac:dyDescent="0.3">
      <c r="A9" s="10">
        <v>7</v>
      </c>
      <c r="B9" s="6"/>
      <c r="C9" s="33"/>
    </row>
    <row r="10" spans="1:3" ht="25.95" customHeight="1" x14ac:dyDescent="0.3">
      <c r="A10" s="12">
        <v>8</v>
      </c>
      <c r="B10" s="3"/>
      <c r="C10" s="33"/>
    </row>
    <row r="11" spans="1:3" ht="25.95" customHeight="1" x14ac:dyDescent="0.3">
      <c r="A11" s="10">
        <v>9</v>
      </c>
      <c r="B11" s="6"/>
      <c r="C11" s="33"/>
    </row>
    <row r="12" spans="1:3" ht="25.95" customHeight="1" x14ac:dyDescent="0.3">
      <c r="A12" s="12">
        <v>10</v>
      </c>
      <c r="B12" s="3"/>
      <c r="C12" s="33"/>
    </row>
    <row r="13" spans="1:3" ht="25.95" customHeight="1" x14ac:dyDescent="0.3">
      <c r="A13" s="10">
        <v>11</v>
      </c>
      <c r="B13" s="6"/>
      <c r="C13" s="33"/>
    </row>
    <row r="14" spans="1:3" ht="25.95" customHeight="1" x14ac:dyDescent="0.3">
      <c r="A14" s="12">
        <v>12</v>
      </c>
      <c r="B14" s="3"/>
      <c r="C14" s="33"/>
    </row>
    <row r="15" spans="1:3" ht="25.95" customHeight="1" x14ac:dyDescent="0.3">
      <c r="A15" s="10">
        <v>13</v>
      </c>
      <c r="B15" s="6"/>
      <c r="C15" s="33"/>
    </row>
    <row r="16" spans="1:3" ht="25.95" customHeight="1" x14ac:dyDescent="0.3">
      <c r="A16" s="12">
        <v>14</v>
      </c>
      <c r="B16" s="3"/>
      <c r="C16" s="33"/>
    </row>
    <row r="17" spans="1:3" ht="25.95" customHeight="1" x14ac:dyDescent="0.3">
      <c r="A17" s="10">
        <v>15</v>
      </c>
      <c r="B17" s="6"/>
      <c r="C17" s="33"/>
    </row>
    <row r="18" spans="1:3" ht="25.95" customHeight="1" x14ac:dyDescent="0.3">
      <c r="A18" s="12">
        <v>16</v>
      </c>
      <c r="B18" s="3"/>
      <c r="C18" s="33"/>
    </row>
    <row r="19" spans="1:3" ht="25.95" customHeight="1" x14ac:dyDescent="0.3">
      <c r="A19" s="10">
        <v>17</v>
      </c>
      <c r="B19" s="6"/>
      <c r="C19" s="33"/>
    </row>
    <row r="20" spans="1:3" ht="25.95" customHeight="1" x14ac:dyDescent="0.3">
      <c r="A20" s="12">
        <v>18</v>
      </c>
      <c r="B20" s="3"/>
      <c r="C20" s="33"/>
    </row>
    <row r="21" spans="1:3" ht="25.95" customHeight="1" x14ac:dyDescent="0.3">
      <c r="A21" s="10">
        <v>19</v>
      </c>
      <c r="B21" s="6"/>
      <c r="C21" s="33"/>
    </row>
    <row r="22" spans="1:3" ht="25.95" customHeight="1" x14ac:dyDescent="0.3">
      <c r="A22" s="12">
        <v>20</v>
      </c>
      <c r="B22" s="3"/>
      <c r="C22" s="33"/>
    </row>
    <row r="23" spans="1:3" ht="25.95" customHeight="1" x14ac:dyDescent="0.3">
      <c r="A23" s="10">
        <v>21</v>
      </c>
      <c r="B23" s="6"/>
      <c r="C23" s="33"/>
    </row>
    <row r="24" spans="1:3" ht="25.95" customHeight="1" x14ac:dyDescent="0.3">
      <c r="A24" s="12">
        <v>22</v>
      </c>
      <c r="B24" s="3"/>
      <c r="C24" s="33"/>
    </row>
    <row r="25" spans="1:3" ht="25.95" customHeight="1" x14ac:dyDescent="0.3">
      <c r="A25" s="10">
        <v>23</v>
      </c>
      <c r="B25" s="6"/>
      <c r="C25" s="33"/>
    </row>
    <row r="26" spans="1:3" ht="25.95" customHeight="1" x14ac:dyDescent="0.3">
      <c r="A26" s="12">
        <v>24</v>
      </c>
      <c r="B26" s="3"/>
      <c r="C26" s="33"/>
    </row>
    <row r="27" spans="1:3" ht="25.95" customHeight="1" x14ac:dyDescent="0.3">
      <c r="A27" s="10">
        <v>25</v>
      </c>
      <c r="B27" s="6"/>
      <c r="C27" s="33"/>
    </row>
    <row r="28" spans="1:3" ht="25.95" customHeight="1" x14ac:dyDescent="0.3">
      <c r="A28" s="12">
        <v>26</v>
      </c>
      <c r="B28" s="3"/>
      <c r="C28" s="33"/>
    </row>
    <row r="29" spans="1:3" ht="25.95" customHeight="1" x14ac:dyDescent="0.3">
      <c r="A29" s="10">
        <v>27</v>
      </c>
      <c r="B29" s="6"/>
      <c r="C29" s="33"/>
    </row>
    <row r="30" spans="1:3" ht="25.95" customHeight="1" x14ac:dyDescent="0.3">
      <c r="A30" s="12">
        <v>28</v>
      </c>
      <c r="B30" s="3"/>
      <c r="C30" s="33"/>
    </row>
    <row r="31" spans="1:3" ht="25.95" customHeight="1" x14ac:dyDescent="0.3">
      <c r="A31" s="10">
        <v>29</v>
      </c>
      <c r="B31" s="6"/>
      <c r="C31" s="33"/>
    </row>
    <row r="32" spans="1:3" ht="25.95" customHeight="1" x14ac:dyDescent="0.3">
      <c r="A32" s="12">
        <v>30</v>
      </c>
      <c r="B32" s="3"/>
      <c r="C32" s="33"/>
    </row>
    <row r="33" spans="1:3" ht="25.95" customHeight="1" x14ac:dyDescent="0.3">
      <c r="A33" s="10">
        <v>31</v>
      </c>
      <c r="B33" s="6"/>
      <c r="C33" s="33"/>
    </row>
    <row r="34" spans="1:3" ht="25.95" customHeight="1" x14ac:dyDescent="0.3">
      <c r="A34" s="12">
        <v>32</v>
      </c>
      <c r="B34" s="3"/>
      <c r="C34" s="33"/>
    </row>
    <row r="35" spans="1:3" ht="25.95" customHeight="1" x14ac:dyDescent="0.3">
      <c r="A35" s="10">
        <v>33</v>
      </c>
      <c r="B35" s="6"/>
      <c r="C35" s="33"/>
    </row>
    <row r="36" spans="1:3" ht="25.95" customHeight="1" x14ac:dyDescent="0.3">
      <c r="A36" s="12">
        <v>34</v>
      </c>
      <c r="B36" s="3"/>
      <c r="C36" s="33"/>
    </row>
    <row r="37" spans="1:3" ht="25.95" customHeight="1" x14ac:dyDescent="0.3">
      <c r="A37" s="10">
        <v>35</v>
      </c>
      <c r="B37" s="6"/>
      <c r="C37" s="33"/>
    </row>
    <row r="38" spans="1:3" ht="25.95" customHeight="1" x14ac:dyDescent="0.3">
      <c r="A38" s="12">
        <v>36</v>
      </c>
      <c r="B38" s="3"/>
      <c r="C38" s="33"/>
    </row>
    <row r="39" spans="1:3" ht="25.95" customHeight="1" x14ac:dyDescent="0.3">
      <c r="A39" s="10">
        <v>37</v>
      </c>
      <c r="B39" s="6"/>
      <c r="C39" s="33"/>
    </row>
    <row r="40" spans="1:3" ht="25.95" customHeight="1" x14ac:dyDescent="0.3">
      <c r="A40" s="12">
        <v>38</v>
      </c>
      <c r="B40" s="3"/>
      <c r="C40" s="33"/>
    </row>
    <row r="41" spans="1:3" ht="25.95" customHeight="1" x14ac:dyDescent="0.3">
      <c r="A41" s="10">
        <v>39</v>
      </c>
      <c r="B41" s="6"/>
      <c r="C41" s="33"/>
    </row>
    <row r="42" spans="1:3" ht="25.95" customHeight="1" x14ac:dyDescent="0.3">
      <c r="A42" s="12">
        <v>40</v>
      </c>
      <c r="B42" s="3"/>
      <c r="C42" s="33"/>
    </row>
    <row r="43" spans="1:3" ht="25.95" customHeight="1" x14ac:dyDescent="0.3">
      <c r="A43" s="10">
        <v>41</v>
      </c>
      <c r="B43" s="6"/>
      <c r="C43" s="33"/>
    </row>
    <row r="44" spans="1:3" ht="25.95" customHeight="1" x14ac:dyDescent="0.3">
      <c r="A44" s="12">
        <v>42</v>
      </c>
      <c r="B44" s="3"/>
      <c r="C44" s="33"/>
    </row>
    <row r="45" spans="1:3" ht="25.95" customHeight="1" x14ac:dyDescent="0.3">
      <c r="A45" s="10">
        <v>43</v>
      </c>
      <c r="B45" s="6"/>
      <c r="C45" s="33"/>
    </row>
    <row r="46" spans="1:3" ht="25.95" customHeight="1" x14ac:dyDescent="0.3">
      <c r="A46" s="12">
        <v>44</v>
      </c>
      <c r="B46" s="3"/>
      <c r="C46" s="33"/>
    </row>
    <row r="47" spans="1:3" ht="25.95" customHeight="1" x14ac:dyDescent="0.3">
      <c r="A47" s="10">
        <v>45</v>
      </c>
      <c r="B47" s="6"/>
      <c r="C47" s="33"/>
    </row>
    <row r="48" spans="1:3" ht="25.95" customHeight="1" x14ac:dyDescent="0.3">
      <c r="A48" s="12">
        <v>46</v>
      </c>
      <c r="B48" s="3"/>
      <c r="C48" s="33"/>
    </row>
    <row r="49" spans="1:3" ht="25.95" customHeight="1" x14ac:dyDescent="0.3">
      <c r="A49" s="10">
        <v>47</v>
      </c>
      <c r="B49" s="6"/>
      <c r="C49" s="33"/>
    </row>
    <row r="50" spans="1:3" ht="25.95" customHeight="1" x14ac:dyDescent="0.3">
      <c r="A50" s="12">
        <v>48</v>
      </c>
      <c r="B50" s="3"/>
      <c r="C50" s="33"/>
    </row>
    <row r="51" spans="1:3" ht="25.95" customHeight="1" x14ac:dyDescent="0.3">
      <c r="A51" s="10">
        <v>49</v>
      </c>
      <c r="B51" s="6"/>
      <c r="C51" s="33"/>
    </row>
    <row r="52" spans="1:3" ht="25.95" customHeight="1" x14ac:dyDescent="0.3">
      <c r="A52" s="12">
        <v>50</v>
      </c>
      <c r="B52" s="3"/>
      <c r="C52" s="33"/>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tint="0.34998626667073579"/>
  </sheetPr>
  <dimension ref="A1:F119"/>
  <sheetViews>
    <sheetView topLeftCell="A98" zoomScale="70" zoomScaleNormal="70" workbookViewId="0">
      <selection activeCell="F117" sqref="F117"/>
    </sheetView>
  </sheetViews>
  <sheetFormatPr defaultRowHeight="14.4" x14ac:dyDescent="0.3"/>
  <cols>
    <col min="1" max="1" width="5" customWidth="1"/>
    <col min="2" max="2" width="58" customWidth="1"/>
    <col min="3" max="3" width="20" customWidth="1"/>
    <col min="4" max="4" width="14" customWidth="1"/>
    <col min="5" max="5" width="18" customWidth="1"/>
    <col min="6" max="6" width="88" customWidth="1"/>
  </cols>
  <sheetData>
    <row r="1" spans="1:6" ht="30" customHeight="1" x14ac:dyDescent="0.3">
      <c r="A1" s="169" t="s">
        <v>210</v>
      </c>
      <c r="B1" s="169"/>
      <c r="C1" s="169"/>
      <c r="D1" s="169"/>
      <c r="E1" s="169"/>
      <c r="F1" s="169"/>
    </row>
    <row r="2" spans="1:6" ht="29.4" customHeight="1" x14ac:dyDescent="0.3">
      <c r="A2" s="105" t="s">
        <v>141</v>
      </c>
      <c r="B2" s="105" t="s">
        <v>174</v>
      </c>
      <c r="C2" s="105" t="s">
        <v>211</v>
      </c>
      <c r="D2" s="105" t="s">
        <v>212</v>
      </c>
      <c r="E2" s="105" t="s">
        <v>213</v>
      </c>
      <c r="F2" s="106" t="s">
        <v>193</v>
      </c>
    </row>
    <row r="3" spans="1:6" s="104" customFormat="1" ht="31.2" customHeight="1" x14ac:dyDescent="0.3">
      <c r="A3" s="107">
        <v>1</v>
      </c>
      <c r="B3" s="107" t="s">
        <v>662</v>
      </c>
      <c r="C3" s="107" t="s">
        <v>21</v>
      </c>
      <c r="D3" s="108" t="s">
        <v>370</v>
      </c>
      <c r="E3" s="109" t="s">
        <v>754</v>
      </c>
      <c r="F3" s="110" t="s">
        <v>755</v>
      </c>
    </row>
    <row r="4" spans="1:6" s="104" customFormat="1" ht="31.2" customHeight="1" x14ac:dyDescent="0.3">
      <c r="A4" s="107">
        <v>2</v>
      </c>
      <c r="B4" s="107" t="s">
        <v>663</v>
      </c>
      <c r="C4" s="107" t="s">
        <v>21</v>
      </c>
      <c r="D4" s="108" t="s">
        <v>370</v>
      </c>
      <c r="E4" s="109" t="s">
        <v>754</v>
      </c>
      <c r="F4" s="110" t="s">
        <v>756</v>
      </c>
    </row>
    <row r="5" spans="1:6" s="104" customFormat="1" ht="31.2" customHeight="1" x14ac:dyDescent="0.3">
      <c r="A5" s="107">
        <v>3</v>
      </c>
      <c r="B5" s="107" t="s">
        <v>664</v>
      </c>
      <c r="C5" s="107" t="s">
        <v>21</v>
      </c>
      <c r="D5" s="108" t="s">
        <v>370</v>
      </c>
      <c r="E5" s="109" t="s">
        <v>754</v>
      </c>
      <c r="F5" s="110" t="s">
        <v>757</v>
      </c>
    </row>
    <row r="6" spans="1:6" s="104" customFormat="1" ht="31.2" customHeight="1" x14ac:dyDescent="0.3">
      <c r="A6" s="107">
        <v>4</v>
      </c>
      <c r="B6" s="107" t="s">
        <v>665</v>
      </c>
      <c r="C6" s="107" t="s">
        <v>21</v>
      </c>
      <c r="D6" s="108" t="s">
        <v>370</v>
      </c>
      <c r="E6" s="109" t="s">
        <v>754</v>
      </c>
      <c r="F6" s="110" t="s">
        <v>758</v>
      </c>
    </row>
    <row r="7" spans="1:6" s="104" customFormat="1" ht="31.2" customHeight="1" x14ac:dyDescent="0.3">
      <c r="A7" s="107">
        <v>5</v>
      </c>
      <c r="B7" s="107" t="s">
        <v>666</v>
      </c>
      <c r="C7" s="107" t="s">
        <v>21</v>
      </c>
      <c r="D7" s="108" t="s">
        <v>370</v>
      </c>
      <c r="E7" s="109" t="s">
        <v>754</v>
      </c>
      <c r="F7" s="110" t="s">
        <v>759</v>
      </c>
    </row>
    <row r="8" spans="1:6" s="104" customFormat="1" ht="31.2" customHeight="1" x14ac:dyDescent="0.3">
      <c r="A8" s="107">
        <v>6</v>
      </c>
      <c r="B8" s="107" t="s">
        <v>667</v>
      </c>
      <c r="C8" s="107" t="s">
        <v>21</v>
      </c>
      <c r="D8" s="108" t="s">
        <v>370</v>
      </c>
      <c r="E8" s="109" t="s">
        <v>754</v>
      </c>
      <c r="F8" s="110" t="s">
        <v>760</v>
      </c>
    </row>
    <row r="9" spans="1:6" s="104" customFormat="1" ht="31.2" customHeight="1" x14ac:dyDescent="0.3">
      <c r="A9" s="107">
        <v>7</v>
      </c>
      <c r="B9" s="107" t="s">
        <v>668</v>
      </c>
      <c r="C9" s="107" t="s">
        <v>21</v>
      </c>
      <c r="D9" s="108" t="s">
        <v>370</v>
      </c>
      <c r="E9" s="109" t="s">
        <v>754</v>
      </c>
      <c r="F9" s="110" t="s">
        <v>761</v>
      </c>
    </row>
    <row r="10" spans="1:6" s="104" customFormat="1" ht="31.2" customHeight="1" x14ac:dyDescent="0.3">
      <c r="A10" s="107">
        <v>8</v>
      </c>
      <c r="B10" s="107" t="s">
        <v>669</v>
      </c>
      <c r="C10" s="107" t="s">
        <v>21</v>
      </c>
      <c r="D10" s="108" t="s">
        <v>370</v>
      </c>
      <c r="E10" s="109" t="s">
        <v>754</v>
      </c>
      <c r="F10" s="110" t="s">
        <v>762</v>
      </c>
    </row>
    <row r="11" spans="1:6" s="104" customFormat="1" ht="31.2" customHeight="1" x14ac:dyDescent="0.3">
      <c r="A11" s="107">
        <v>9</v>
      </c>
      <c r="B11" s="107" t="s">
        <v>670</v>
      </c>
      <c r="C11" s="107" t="s">
        <v>21</v>
      </c>
      <c r="D11" s="108" t="s">
        <v>370</v>
      </c>
      <c r="E11" s="109" t="s">
        <v>754</v>
      </c>
      <c r="F11" s="110" t="s">
        <v>763</v>
      </c>
    </row>
    <row r="12" spans="1:6" s="104" customFormat="1" ht="31.2" customHeight="1" x14ac:dyDescent="0.3">
      <c r="A12" s="107">
        <v>10</v>
      </c>
      <c r="B12" s="107" t="s">
        <v>671</v>
      </c>
      <c r="C12" s="107" t="s">
        <v>21</v>
      </c>
      <c r="D12" s="108" t="s">
        <v>370</v>
      </c>
      <c r="E12" s="109" t="s">
        <v>754</v>
      </c>
      <c r="F12" s="110" t="s">
        <v>764</v>
      </c>
    </row>
    <row r="13" spans="1:6" s="104" customFormat="1" ht="31.2" customHeight="1" x14ac:dyDescent="0.3">
      <c r="A13" s="107">
        <v>11</v>
      </c>
      <c r="B13" s="107" t="s">
        <v>672</v>
      </c>
      <c r="C13" s="107" t="s">
        <v>21</v>
      </c>
      <c r="D13" s="108" t="s">
        <v>370</v>
      </c>
      <c r="E13" s="109" t="s">
        <v>754</v>
      </c>
      <c r="F13" s="110" t="s">
        <v>765</v>
      </c>
    </row>
    <row r="14" spans="1:6" s="104" customFormat="1" ht="31.2" customHeight="1" x14ac:dyDescent="0.3">
      <c r="A14" s="107">
        <v>12</v>
      </c>
      <c r="B14" s="107" t="s">
        <v>673</v>
      </c>
      <c r="C14" s="107" t="s">
        <v>21</v>
      </c>
      <c r="D14" s="108" t="s">
        <v>370</v>
      </c>
      <c r="E14" s="109" t="s">
        <v>754</v>
      </c>
      <c r="F14" s="110" t="s">
        <v>766</v>
      </c>
    </row>
    <row r="15" spans="1:6" s="104" customFormat="1" ht="31.2" customHeight="1" x14ac:dyDescent="0.3">
      <c r="A15" s="107">
        <v>13</v>
      </c>
      <c r="B15" s="107" t="s">
        <v>674</v>
      </c>
      <c r="C15" s="107" t="s">
        <v>21</v>
      </c>
      <c r="D15" s="108" t="s">
        <v>370</v>
      </c>
      <c r="E15" s="109" t="s">
        <v>754</v>
      </c>
      <c r="F15" s="110" t="s">
        <v>767</v>
      </c>
    </row>
    <row r="16" spans="1:6" s="104" customFormat="1" ht="31.2" customHeight="1" x14ac:dyDescent="0.3">
      <c r="A16" s="107">
        <v>14</v>
      </c>
      <c r="B16" s="107" t="s">
        <v>675</v>
      </c>
      <c r="C16" s="107" t="s">
        <v>21</v>
      </c>
      <c r="D16" s="108" t="s">
        <v>370</v>
      </c>
      <c r="E16" s="109" t="s">
        <v>754</v>
      </c>
      <c r="F16" s="110" t="s">
        <v>768</v>
      </c>
    </row>
    <row r="17" spans="1:6" s="104" customFormat="1" ht="31.2" customHeight="1" x14ac:dyDescent="0.3">
      <c r="A17" s="107">
        <v>15</v>
      </c>
      <c r="B17" s="111" t="s">
        <v>676</v>
      </c>
      <c r="C17" s="111" t="s">
        <v>21</v>
      </c>
      <c r="D17" s="111" t="s">
        <v>370</v>
      </c>
      <c r="E17" s="112" t="s">
        <v>769</v>
      </c>
      <c r="F17" s="111" t="s">
        <v>770</v>
      </c>
    </row>
    <row r="18" spans="1:6" s="104" customFormat="1" ht="31.2" customHeight="1" x14ac:dyDescent="0.3">
      <c r="A18" s="107">
        <v>16</v>
      </c>
      <c r="B18" s="107" t="s">
        <v>679</v>
      </c>
      <c r="C18" s="107" t="s">
        <v>21</v>
      </c>
      <c r="D18" s="108" t="s">
        <v>370</v>
      </c>
      <c r="E18" s="109" t="s">
        <v>754</v>
      </c>
      <c r="F18" s="110" t="s">
        <v>771</v>
      </c>
    </row>
    <row r="19" spans="1:6" s="104" customFormat="1" ht="31.2" customHeight="1" x14ac:dyDescent="0.3">
      <c r="A19" s="107">
        <v>17</v>
      </c>
      <c r="B19" s="107" t="s">
        <v>680</v>
      </c>
      <c r="C19" s="107" t="s">
        <v>21</v>
      </c>
      <c r="D19" s="108" t="s">
        <v>370</v>
      </c>
      <c r="E19" s="109" t="s">
        <v>754</v>
      </c>
      <c r="F19" s="110" t="s">
        <v>772</v>
      </c>
    </row>
    <row r="20" spans="1:6" s="104" customFormat="1" ht="31.2" customHeight="1" x14ac:dyDescent="0.3">
      <c r="A20" s="107">
        <v>18</v>
      </c>
      <c r="B20" s="107" t="s">
        <v>681</v>
      </c>
      <c r="C20" s="107" t="s">
        <v>21</v>
      </c>
      <c r="D20" s="108" t="s">
        <v>370</v>
      </c>
      <c r="E20" s="109" t="s">
        <v>754</v>
      </c>
      <c r="F20" s="110" t="s">
        <v>773</v>
      </c>
    </row>
    <row r="21" spans="1:6" s="104" customFormat="1" ht="31.2" customHeight="1" x14ac:dyDescent="0.3">
      <c r="A21" s="107">
        <v>19</v>
      </c>
      <c r="B21" s="107" t="s">
        <v>682</v>
      </c>
      <c r="C21" s="107" t="s">
        <v>21</v>
      </c>
      <c r="D21" s="108" t="s">
        <v>370</v>
      </c>
      <c r="E21" s="109" t="s">
        <v>754</v>
      </c>
      <c r="F21" s="110" t="s">
        <v>774</v>
      </c>
    </row>
    <row r="22" spans="1:6" s="104" customFormat="1" ht="31.2" customHeight="1" x14ac:dyDescent="0.3">
      <c r="A22" s="107">
        <v>20</v>
      </c>
      <c r="B22" s="107" t="s">
        <v>683</v>
      </c>
      <c r="C22" s="107" t="s">
        <v>21</v>
      </c>
      <c r="D22" s="108" t="s">
        <v>370</v>
      </c>
      <c r="E22" s="109" t="s">
        <v>754</v>
      </c>
      <c r="F22" s="110" t="s">
        <v>775</v>
      </c>
    </row>
    <row r="23" spans="1:6" s="104" customFormat="1" ht="31.2" customHeight="1" x14ac:dyDescent="0.3">
      <c r="A23" s="107">
        <v>21</v>
      </c>
      <c r="B23" s="107" t="s">
        <v>684</v>
      </c>
      <c r="C23" s="107" t="s">
        <v>21</v>
      </c>
      <c r="D23" s="108" t="s">
        <v>370</v>
      </c>
      <c r="E23" s="109" t="s">
        <v>754</v>
      </c>
      <c r="F23" s="110" t="s">
        <v>776</v>
      </c>
    </row>
    <row r="24" spans="1:6" s="104" customFormat="1" ht="31.2" customHeight="1" x14ac:dyDescent="0.3">
      <c r="A24" s="107">
        <v>22</v>
      </c>
      <c r="B24" s="111" t="s">
        <v>685</v>
      </c>
      <c r="C24" s="111" t="s">
        <v>21</v>
      </c>
      <c r="D24" s="111" t="s">
        <v>370</v>
      </c>
      <c r="E24" s="112" t="s">
        <v>769</v>
      </c>
      <c r="F24" s="111" t="s">
        <v>777</v>
      </c>
    </row>
    <row r="25" spans="1:6" s="104" customFormat="1" ht="31.2" customHeight="1" x14ac:dyDescent="0.3">
      <c r="A25" s="107">
        <v>23</v>
      </c>
      <c r="B25" s="107" t="s">
        <v>686</v>
      </c>
      <c r="C25" s="107" t="s">
        <v>21</v>
      </c>
      <c r="D25" s="108" t="s">
        <v>370</v>
      </c>
      <c r="E25" s="109" t="s">
        <v>754</v>
      </c>
      <c r="F25" s="110" t="s">
        <v>778</v>
      </c>
    </row>
    <row r="26" spans="1:6" s="104" customFormat="1" ht="31.2" customHeight="1" x14ac:dyDescent="0.3">
      <c r="A26" s="107">
        <v>24</v>
      </c>
      <c r="B26" s="107" t="s">
        <v>687</v>
      </c>
      <c r="C26" s="107" t="s">
        <v>21</v>
      </c>
      <c r="D26" s="108" t="s">
        <v>370</v>
      </c>
      <c r="E26" s="109" t="s">
        <v>754</v>
      </c>
      <c r="F26" s="110" t="s">
        <v>779</v>
      </c>
    </row>
    <row r="27" spans="1:6" s="104" customFormat="1" ht="31.2" customHeight="1" x14ac:dyDescent="0.3">
      <c r="A27" s="107">
        <v>25</v>
      </c>
      <c r="B27" s="107" t="s">
        <v>688</v>
      </c>
      <c r="C27" s="107" t="s">
        <v>21</v>
      </c>
      <c r="D27" s="108" t="s">
        <v>370</v>
      </c>
      <c r="E27" s="109" t="s">
        <v>754</v>
      </c>
      <c r="F27" s="110" t="s">
        <v>780</v>
      </c>
    </row>
    <row r="28" spans="1:6" s="104" customFormat="1" ht="31.2" customHeight="1" x14ac:dyDescent="0.3">
      <c r="A28" s="107">
        <v>26</v>
      </c>
      <c r="B28" s="107" t="s">
        <v>689</v>
      </c>
      <c r="C28" s="107" t="s">
        <v>21</v>
      </c>
      <c r="D28" s="108" t="s">
        <v>370</v>
      </c>
      <c r="E28" s="109" t="s">
        <v>754</v>
      </c>
      <c r="F28" s="110" t="s">
        <v>781</v>
      </c>
    </row>
    <row r="29" spans="1:6" s="104" customFormat="1" ht="31.2" customHeight="1" x14ac:dyDescent="0.3">
      <c r="A29" s="107">
        <v>27</v>
      </c>
      <c r="B29" s="107" t="s">
        <v>690</v>
      </c>
      <c r="C29" s="107" t="s">
        <v>21</v>
      </c>
      <c r="D29" s="108" t="s">
        <v>370</v>
      </c>
      <c r="E29" s="109" t="s">
        <v>754</v>
      </c>
      <c r="F29" s="110" t="s">
        <v>782</v>
      </c>
    </row>
    <row r="30" spans="1:6" s="104" customFormat="1" ht="31.2" customHeight="1" x14ac:dyDescent="0.3">
      <c r="A30" s="107">
        <v>28</v>
      </c>
      <c r="B30" s="107" t="s">
        <v>691</v>
      </c>
      <c r="C30" s="107" t="s">
        <v>21</v>
      </c>
      <c r="D30" s="108" t="s">
        <v>370</v>
      </c>
      <c r="E30" s="109" t="s">
        <v>754</v>
      </c>
      <c r="F30" s="110" t="s">
        <v>783</v>
      </c>
    </row>
    <row r="31" spans="1:6" s="104" customFormat="1" ht="31.2" customHeight="1" x14ac:dyDescent="0.3">
      <c r="A31" s="107">
        <v>29</v>
      </c>
      <c r="B31" s="107" t="s">
        <v>692</v>
      </c>
      <c r="C31" s="107" t="s">
        <v>21</v>
      </c>
      <c r="D31" s="108" t="s">
        <v>370</v>
      </c>
      <c r="E31" s="109" t="s">
        <v>754</v>
      </c>
      <c r="F31" s="110" t="s">
        <v>784</v>
      </c>
    </row>
    <row r="32" spans="1:6" s="104" customFormat="1" ht="31.2" customHeight="1" x14ac:dyDescent="0.3">
      <c r="A32" s="107">
        <v>30</v>
      </c>
      <c r="B32" s="107" t="s">
        <v>693</v>
      </c>
      <c r="C32" s="107" t="s">
        <v>21</v>
      </c>
      <c r="D32" s="108" t="s">
        <v>370</v>
      </c>
      <c r="E32" s="109" t="s">
        <v>754</v>
      </c>
      <c r="F32" s="110" t="s">
        <v>785</v>
      </c>
    </row>
    <row r="33" spans="1:6" s="104" customFormat="1" ht="31.2" customHeight="1" x14ac:dyDescent="0.3">
      <c r="A33" s="107">
        <v>31</v>
      </c>
      <c r="B33" s="107" t="s">
        <v>694</v>
      </c>
      <c r="C33" s="107" t="s">
        <v>21</v>
      </c>
      <c r="D33" s="108" t="s">
        <v>370</v>
      </c>
      <c r="E33" s="109" t="s">
        <v>754</v>
      </c>
      <c r="F33" s="110" t="s">
        <v>786</v>
      </c>
    </row>
    <row r="34" spans="1:6" s="104" customFormat="1" ht="31.2" customHeight="1" x14ac:dyDescent="0.3">
      <c r="A34" s="107">
        <v>32</v>
      </c>
      <c r="B34" s="107" t="s">
        <v>695</v>
      </c>
      <c r="C34" s="107" t="s">
        <v>21</v>
      </c>
      <c r="D34" s="108" t="s">
        <v>370</v>
      </c>
      <c r="E34" s="109" t="s">
        <v>754</v>
      </c>
      <c r="F34" s="110" t="s">
        <v>787</v>
      </c>
    </row>
    <row r="35" spans="1:6" s="104" customFormat="1" ht="31.2" customHeight="1" x14ac:dyDescent="0.3">
      <c r="A35" s="107">
        <v>33</v>
      </c>
      <c r="B35" s="113" t="s">
        <v>694</v>
      </c>
      <c r="C35" s="113" t="s">
        <v>21</v>
      </c>
      <c r="D35" s="114" t="s">
        <v>369</v>
      </c>
      <c r="E35" s="115" t="s">
        <v>754</v>
      </c>
      <c r="F35" s="116" t="s">
        <v>788</v>
      </c>
    </row>
    <row r="36" spans="1:6" s="104" customFormat="1" ht="31.2" customHeight="1" x14ac:dyDescent="0.3">
      <c r="A36" s="107">
        <v>34</v>
      </c>
      <c r="B36" s="107" t="s">
        <v>696</v>
      </c>
      <c r="C36" s="107" t="s">
        <v>21</v>
      </c>
      <c r="D36" s="108" t="s">
        <v>370</v>
      </c>
      <c r="E36" s="109" t="s">
        <v>754</v>
      </c>
      <c r="F36" s="110" t="s">
        <v>789</v>
      </c>
    </row>
    <row r="37" spans="1:6" s="104" customFormat="1" ht="31.2" customHeight="1" x14ac:dyDescent="0.3">
      <c r="A37" s="107">
        <v>35</v>
      </c>
      <c r="B37" s="107" t="s">
        <v>697</v>
      </c>
      <c r="C37" s="107" t="s">
        <v>21</v>
      </c>
      <c r="D37" s="108" t="s">
        <v>370</v>
      </c>
      <c r="E37" s="109" t="s">
        <v>754</v>
      </c>
      <c r="F37" s="110" t="s">
        <v>790</v>
      </c>
    </row>
    <row r="38" spans="1:6" s="104" customFormat="1" ht="31.2" customHeight="1" x14ac:dyDescent="0.3">
      <c r="A38" s="107">
        <v>36</v>
      </c>
      <c r="B38" s="107" t="s">
        <v>698</v>
      </c>
      <c r="C38" s="107" t="s">
        <v>21</v>
      </c>
      <c r="D38" s="108" t="s">
        <v>370</v>
      </c>
      <c r="E38" s="109" t="s">
        <v>754</v>
      </c>
      <c r="F38" s="110" t="s">
        <v>791</v>
      </c>
    </row>
    <row r="39" spans="1:6" s="104" customFormat="1" ht="31.2" customHeight="1" x14ac:dyDescent="0.3">
      <c r="A39" s="107">
        <v>37</v>
      </c>
      <c r="B39" s="107" t="s">
        <v>699</v>
      </c>
      <c r="C39" s="107" t="s">
        <v>21</v>
      </c>
      <c r="D39" s="108" t="s">
        <v>370</v>
      </c>
      <c r="E39" s="109" t="s">
        <v>754</v>
      </c>
      <c r="F39" s="110" t="s">
        <v>792</v>
      </c>
    </row>
    <row r="40" spans="1:6" s="104" customFormat="1" ht="31.2" customHeight="1" x14ac:dyDescent="0.3">
      <c r="A40" s="107">
        <v>38</v>
      </c>
      <c r="B40" s="107" t="s">
        <v>700</v>
      </c>
      <c r="C40" s="107" t="s">
        <v>21</v>
      </c>
      <c r="D40" s="108" t="s">
        <v>370</v>
      </c>
      <c r="E40" s="109" t="s">
        <v>754</v>
      </c>
      <c r="F40" s="110" t="s">
        <v>793</v>
      </c>
    </row>
    <row r="41" spans="1:6" s="104" customFormat="1" ht="31.2" customHeight="1" x14ac:dyDescent="0.3">
      <c r="A41" s="107">
        <v>39</v>
      </c>
      <c r="B41" s="107" t="s">
        <v>701</v>
      </c>
      <c r="C41" s="107" t="s">
        <v>21</v>
      </c>
      <c r="D41" s="108" t="s">
        <v>370</v>
      </c>
      <c r="E41" s="109" t="s">
        <v>754</v>
      </c>
      <c r="F41" s="110" t="s">
        <v>794</v>
      </c>
    </row>
    <row r="42" spans="1:6" s="104" customFormat="1" ht="31.2" customHeight="1" x14ac:dyDescent="0.3">
      <c r="A42" s="107">
        <v>40</v>
      </c>
      <c r="B42" s="111" t="s">
        <v>702</v>
      </c>
      <c r="C42" s="111" t="s">
        <v>21</v>
      </c>
      <c r="D42" s="111" t="s">
        <v>370</v>
      </c>
      <c r="E42" s="112" t="s">
        <v>769</v>
      </c>
      <c r="F42" s="111" t="s">
        <v>795</v>
      </c>
    </row>
    <row r="43" spans="1:6" s="104" customFormat="1" ht="31.2" customHeight="1" x14ac:dyDescent="0.3">
      <c r="A43" s="107">
        <v>41</v>
      </c>
      <c r="B43" s="107" t="s">
        <v>703</v>
      </c>
      <c r="C43" s="107" t="s">
        <v>21</v>
      </c>
      <c r="D43" s="108" t="s">
        <v>370</v>
      </c>
      <c r="E43" s="109" t="s">
        <v>754</v>
      </c>
      <c r="F43" s="110" t="s">
        <v>796</v>
      </c>
    </row>
    <row r="44" spans="1:6" s="104" customFormat="1" ht="31.2" customHeight="1" x14ac:dyDescent="0.3">
      <c r="A44" s="107">
        <v>42</v>
      </c>
      <c r="B44" s="107" t="s">
        <v>704</v>
      </c>
      <c r="C44" s="107" t="s">
        <v>21</v>
      </c>
      <c r="D44" s="108" t="s">
        <v>370</v>
      </c>
      <c r="E44" s="109" t="s">
        <v>754</v>
      </c>
      <c r="F44" s="110" t="s">
        <v>797</v>
      </c>
    </row>
    <row r="45" spans="1:6" s="104" customFormat="1" ht="31.2" customHeight="1" x14ac:dyDescent="0.3">
      <c r="A45" s="107">
        <v>43</v>
      </c>
      <c r="B45" s="107" t="s">
        <v>705</v>
      </c>
      <c r="C45" s="107" t="s">
        <v>21</v>
      </c>
      <c r="D45" s="108" t="s">
        <v>370</v>
      </c>
      <c r="E45" s="109" t="s">
        <v>754</v>
      </c>
      <c r="F45" s="110" t="s">
        <v>798</v>
      </c>
    </row>
    <row r="46" spans="1:6" s="104" customFormat="1" ht="31.2" customHeight="1" x14ac:dyDescent="0.3">
      <c r="A46" s="107">
        <v>44</v>
      </c>
      <c r="B46" s="107" t="s">
        <v>706</v>
      </c>
      <c r="C46" s="107" t="s">
        <v>21</v>
      </c>
      <c r="D46" s="108" t="s">
        <v>370</v>
      </c>
      <c r="E46" s="109" t="s">
        <v>754</v>
      </c>
      <c r="F46" s="110" t="s">
        <v>799</v>
      </c>
    </row>
    <row r="47" spans="1:6" s="104" customFormat="1" ht="31.2" customHeight="1" x14ac:dyDescent="0.3">
      <c r="A47" s="107">
        <v>45</v>
      </c>
      <c r="B47" s="107" t="s">
        <v>707</v>
      </c>
      <c r="C47" s="107" t="s">
        <v>21</v>
      </c>
      <c r="D47" s="108" t="s">
        <v>370</v>
      </c>
      <c r="E47" s="109" t="s">
        <v>754</v>
      </c>
      <c r="F47" s="110" t="s">
        <v>800</v>
      </c>
    </row>
    <row r="48" spans="1:6" s="104" customFormat="1" ht="31.2" customHeight="1" x14ac:dyDescent="0.3">
      <c r="A48" s="107">
        <v>46</v>
      </c>
      <c r="B48" s="107" t="s">
        <v>708</v>
      </c>
      <c r="C48" s="107" t="s">
        <v>21</v>
      </c>
      <c r="D48" s="108" t="s">
        <v>370</v>
      </c>
      <c r="E48" s="109" t="s">
        <v>754</v>
      </c>
      <c r="F48" s="110" t="s">
        <v>801</v>
      </c>
    </row>
    <row r="49" spans="1:6" s="104" customFormat="1" ht="31.2" customHeight="1" x14ac:dyDescent="0.3">
      <c r="A49" s="107">
        <v>47</v>
      </c>
      <c r="B49" s="107" t="s">
        <v>709</v>
      </c>
      <c r="C49" s="107" t="s">
        <v>21</v>
      </c>
      <c r="D49" s="108" t="s">
        <v>370</v>
      </c>
      <c r="E49" s="109" t="s">
        <v>754</v>
      </c>
      <c r="F49" s="110" t="s">
        <v>802</v>
      </c>
    </row>
    <row r="50" spans="1:6" s="104" customFormat="1" ht="31.2" customHeight="1" x14ac:dyDescent="0.3">
      <c r="A50" s="107">
        <v>48</v>
      </c>
      <c r="B50" s="107" t="s">
        <v>710</v>
      </c>
      <c r="C50" s="107" t="s">
        <v>21</v>
      </c>
      <c r="D50" s="108" t="s">
        <v>370</v>
      </c>
      <c r="E50" s="109" t="s">
        <v>754</v>
      </c>
      <c r="F50" s="110" t="s">
        <v>803</v>
      </c>
    </row>
    <row r="51" spans="1:6" s="104" customFormat="1" ht="31.2" customHeight="1" x14ac:dyDescent="0.3">
      <c r="A51" s="107">
        <v>49</v>
      </c>
      <c r="B51" s="107" t="s">
        <v>711</v>
      </c>
      <c r="C51" s="107" t="s">
        <v>21</v>
      </c>
      <c r="D51" s="108" t="s">
        <v>370</v>
      </c>
      <c r="E51" s="109" t="s">
        <v>754</v>
      </c>
      <c r="F51" s="110" t="s">
        <v>804</v>
      </c>
    </row>
    <row r="52" spans="1:6" s="104" customFormat="1" ht="31.2" customHeight="1" x14ac:dyDescent="0.3">
      <c r="A52" s="107">
        <v>50</v>
      </c>
      <c r="B52" s="107" t="s">
        <v>712</v>
      </c>
      <c r="C52" s="107" t="s">
        <v>21</v>
      </c>
      <c r="D52" s="108" t="s">
        <v>370</v>
      </c>
      <c r="E52" s="109" t="s">
        <v>754</v>
      </c>
      <c r="F52" s="110" t="s">
        <v>805</v>
      </c>
    </row>
    <row r="53" spans="1:6" s="104" customFormat="1" ht="31.2" customHeight="1" x14ac:dyDescent="0.3">
      <c r="A53" s="107">
        <v>51</v>
      </c>
      <c r="B53" s="107" t="s">
        <v>713</v>
      </c>
      <c r="C53" s="107" t="s">
        <v>21</v>
      </c>
      <c r="D53" s="108" t="s">
        <v>370</v>
      </c>
      <c r="E53" s="109" t="s">
        <v>754</v>
      </c>
      <c r="F53" s="110" t="s">
        <v>806</v>
      </c>
    </row>
    <row r="54" spans="1:6" s="104" customFormat="1" ht="31.2" customHeight="1" x14ac:dyDescent="0.3">
      <c r="A54" s="107">
        <v>52</v>
      </c>
      <c r="B54" s="107" t="s">
        <v>714</v>
      </c>
      <c r="C54" s="107" t="s">
        <v>21</v>
      </c>
      <c r="D54" s="108" t="s">
        <v>370</v>
      </c>
      <c r="E54" s="109" t="s">
        <v>754</v>
      </c>
      <c r="F54" s="110" t="s">
        <v>807</v>
      </c>
    </row>
    <row r="55" spans="1:6" s="104" customFormat="1" ht="31.2" customHeight="1" x14ac:dyDescent="0.3">
      <c r="A55" s="107">
        <v>53</v>
      </c>
      <c r="B55" s="107" t="s">
        <v>715</v>
      </c>
      <c r="C55" s="107" t="s">
        <v>21</v>
      </c>
      <c r="D55" s="108" t="s">
        <v>370</v>
      </c>
      <c r="E55" s="109" t="s">
        <v>754</v>
      </c>
      <c r="F55" s="110" t="s">
        <v>808</v>
      </c>
    </row>
    <row r="56" spans="1:6" s="104" customFormat="1" ht="31.2" customHeight="1" x14ac:dyDescent="0.3">
      <c r="A56" s="107">
        <v>54</v>
      </c>
      <c r="B56" s="107" t="s">
        <v>716</v>
      </c>
      <c r="C56" s="107" t="s">
        <v>21</v>
      </c>
      <c r="D56" s="108" t="s">
        <v>370</v>
      </c>
      <c r="E56" s="109" t="s">
        <v>754</v>
      </c>
      <c r="F56" s="110" t="s">
        <v>809</v>
      </c>
    </row>
    <row r="57" spans="1:6" s="104" customFormat="1" ht="31.2" customHeight="1" x14ac:dyDescent="0.3">
      <c r="A57" s="107">
        <v>55</v>
      </c>
      <c r="B57" s="111" t="s">
        <v>717</v>
      </c>
      <c r="C57" s="111" t="s">
        <v>21</v>
      </c>
      <c r="D57" s="111" t="s">
        <v>370</v>
      </c>
      <c r="E57" s="112" t="s">
        <v>769</v>
      </c>
      <c r="F57" s="111" t="s">
        <v>810</v>
      </c>
    </row>
    <row r="58" spans="1:6" s="104" customFormat="1" ht="31.2" customHeight="1" x14ac:dyDescent="0.3">
      <c r="A58" s="107">
        <v>56</v>
      </c>
      <c r="B58" s="107" t="s">
        <v>718</v>
      </c>
      <c r="C58" s="107" t="s">
        <v>21</v>
      </c>
      <c r="D58" s="108" t="s">
        <v>370</v>
      </c>
      <c r="E58" s="109" t="s">
        <v>754</v>
      </c>
      <c r="F58" s="110" t="s">
        <v>811</v>
      </c>
    </row>
    <row r="59" spans="1:6" s="104" customFormat="1" ht="31.2" customHeight="1" x14ac:dyDescent="0.3">
      <c r="A59" s="107">
        <v>57</v>
      </c>
      <c r="B59" s="107" t="s">
        <v>719</v>
      </c>
      <c r="C59" s="107" t="s">
        <v>21</v>
      </c>
      <c r="D59" s="108" t="s">
        <v>370</v>
      </c>
      <c r="E59" s="109" t="s">
        <v>754</v>
      </c>
      <c r="F59" s="110" t="s">
        <v>812</v>
      </c>
    </row>
    <row r="60" spans="1:6" s="104" customFormat="1" ht="31.2" customHeight="1" x14ac:dyDescent="0.3">
      <c r="A60" s="107">
        <v>58</v>
      </c>
      <c r="B60" s="107" t="s">
        <v>721</v>
      </c>
      <c r="C60" s="107" t="s">
        <v>21</v>
      </c>
      <c r="D60" s="108" t="s">
        <v>370</v>
      </c>
      <c r="E60" s="109" t="s">
        <v>754</v>
      </c>
      <c r="F60" s="110" t="s">
        <v>813</v>
      </c>
    </row>
    <row r="61" spans="1:6" s="104" customFormat="1" ht="31.2" customHeight="1" x14ac:dyDescent="0.3">
      <c r="A61" s="107">
        <v>59</v>
      </c>
      <c r="B61" s="111" t="s">
        <v>722</v>
      </c>
      <c r="C61" s="111" t="s">
        <v>21</v>
      </c>
      <c r="D61" s="111" t="s">
        <v>370</v>
      </c>
      <c r="E61" s="112" t="s">
        <v>769</v>
      </c>
      <c r="F61" s="111" t="s">
        <v>814</v>
      </c>
    </row>
    <row r="62" spans="1:6" s="104" customFormat="1" ht="31.2" customHeight="1" x14ac:dyDescent="0.3">
      <c r="A62" s="107">
        <v>60</v>
      </c>
      <c r="B62" s="107" t="s">
        <v>723</v>
      </c>
      <c r="C62" s="107" t="s">
        <v>21</v>
      </c>
      <c r="D62" s="108" t="s">
        <v>370</v>
      </c>
      <c r="E62" s="109" t="s">
        <v>754</v>
      </c>
      <c r="F62" s="110" t="s">
        <v>815</v>
      </c>
    </row>
    <row r="63" spans="1:6" s="104" customFormat="1" ht="31.2" customHeight="1" x14ac:dyDescent="0.3">
      <c r="A63" s="107">
        <v>61</v>
      </c>
      <c r="B63" s="111" t="s">
        <v>724</v>
      </c>
      <c r="C63" s="111" t="s">
        <v>21</v>
      </c>
      <c r="D63" s="111" t="s">
        <v>370</v>
      </c>
      <c r="E63" s="112" t="s">
        <v>769</v>
      </c>
      <c r="F63" s="111" t="s">
        <v>816</v>
      </c>
    </row>
    <row r="64" spans="1:6" s="104" customFormat="1" ht="31.2" customHeight="1" x14ac:dyDescent="0.3">
      <c r="A64" s="107">
        <v>62</v>
      </c>
      <c r="B64" s="107" t="s">
        <v>725</v>
      </c>
      <c r="C64" s="107" t="s">
        <v>21</v>
      </c>
      <c r="D64" s="108" t="s">
        <v>370</v>
      </c>
      <c r="E64" s="109" t="s">
        <v>754</v>
      </c>
      <c r="F64" s="110" t="s">
        <v>817</v>
      </c>
    </row>
    <row r="65" spans="1:6" s="104" customFormat="1" ht="31.2" customHeight="1" x14ac:dyDescent="0.3">
      <c r="A65" s="107">
        <v>63</v>
      </c>
      <c r="B65" s="107" t="s">
        <v>726</v>
      </c>
      <c r="C65" s="107" t="s">
        <v>21</v>
      </c>
      <c r="D65" s="108" t="s">
        <v>370</v>
      </c>
      <c r="E65" s="109" t="s">
        <v>754</v>
      </c>
      <c r="F65" s="110" t="s">
        <v>818</v>
      </c>
    </row>
    <row r="66" spans="1:6" s="104" customFormat="1" ht="31.2" customHeight="1" x14ac:dyDescent="0.3">
      <c r="A66" s="107">
        <v>64</v>
      </c>
      <c r="B66" s="107" t="s">
        <v>727</v>
      </c>
      <c r="C66" s="107" t="s">
        <v>21</v>
      </c>
      <c r="D66" s="108" t="s">
        <v>370</v>
      </c>
      <c r="E66" s="109" t="s">
        <v>754</v>
      </c>
      <c r="F66" s="110" t="s">
        <v>819</v>
      </c>
    </row>
    <row r="67" spans="1:6" s="104" customFormat="1" ht="31.2" customHeight="1" x14ac:dyDescent="0.3">
      <c r="A67" s="107">
        <v>65</v>
      </c>
      <c r="B67" s="107" t="s">
        <v>728</v>
      </c>
      <c r="C67" s="107" t="s">
        <v>21</v>
      </c>
      <c r="D67" s="108" t="s">
        <v>370</v>
      </c>
      <c r="E67" s="109" t="s">
        <v>754</v>
      </c>
      <c r="F67" s="110" t="s">
        <v>820</v>
      </c>
    </row>
    <row r="68" spans="1:6" s="104" customFormat="1" ht="31.2" customHeight="1" x14ac:dyDescent="0.3">
      <c r="A68" s="107">
        <v>66</v>
      </c>
      <c r="B68" s="107" t="s">
        <v>729</v>
      </c>
      <c r="C68" s="107" t="s">
        <v>21</v>
      </c>
      <c r="D68" s="108" t="s">
        <v>370</v>
      </c>
      <c r="E68" s="109" t="s">
        <v>754</v>
      </c>
      <c r="F68" s="110" t="s">
        <v>821</v>
      </c>
    </row>
    <row r="69" spans="1:6" s="104" customFormat="1" ht="31.2" customHeight="1" x14ac:dyDescent="0.3">
      <c r="A69" s="107">
        <v>67</v>
      </c>
      <c r="B69" s="111" t="s">
        <v>730</v>
      </c>
      <c r="C69" s="111" t="s">
        <v>21</v>
      </c>
      <c r="D69" s="111" t="s">
        <v>370</v>
      </c>
      <c r="E69" s="112" t="s">
        <v>769</v>
      </c>
      <c r="F69" s="111" t="s">
        <v>822</v>
      </c>
    </row>
    <row r="70" spans="1:6" s="104" customFormat="1" ht="31.2" customHeight="1" x14ac:dyDescent="0.3">
      <c r="A70" s="107">
        <v>68</v>
      </c>
      <c r="B70" s="107" t="s">
        <v>731</v>
      </c>
      <c r="C70" s="107" t="s">
        <v>21</v>
      </c>
      <c r="D70" s="108" t="s">
        <v>370</v>
      </c>
      <c r="E70" s="109" t="s">
        <v>754</v>
      </c>
      <c r="F70" s="110" t="s">
        <v>823</v>
      </c>
    </row>
    <row r="71" spans="1:6" s="104" customFormat="1" ht="31.2" customHeight="1" x14ac:dyDescent="0.3">
      <c r="A71" s="107">
        <v>69</v>
      </c>
      <c r="B71" s="107" t="s">
        <v>732</v>
      </c>
      <c r="C71" s="107" t="s">
        <v>21</v>
      </c>
      <c r="D71" s="108" t="s">
        <v>370</v>
      </c>
      <c r="E71" s="109" t="s">
        <v>754</v>
      </c>
      <c r="F71" s="110" t="s">
        <v>824</v>
      </c>
    </row>
    <row r="72" spans="1:6" s="104" customFormat="1" ht="31.2" customHeight="1" x14ac:dyDescent="0.3">
      <c r="A72" s="107">
        <v>70</v>
      </c>
      <c r="B72" s="107" t="s">
        <v>733</v>
      </c>
      <c r="C72" s="107" t="s">
        <v>21</v>
      </c>
      <c r="D72" s="108" t="s">
        <v>370</v>
      </c>
      <c r="E72" s="109" t="s">
        <v>754</v>
      </c>
      <c r="F72" s="110" t="s">
        <v>825</v>
      </c>
    </row>
    <row r="73" spans="1:6" s="104" customFormat="1" ht="31.2" customHeight="1" x14ac:dyDescent="0.3">
      <c r="A73" s="107">
        <v>71</v>
      </c>
      <c r="B73" s="111" t="s">
        <v>734</v>
      </c>
      <c r="C73" s="111" t="s">
        <v>21</v>
      </c>
      <c r="D73" s="111" t="s">
        <v>370</v>
      </c>
      <c r="E73" s="112" t="s">
        <v>769</v>
      </c>
      <c r="F73" s="111" t="s">
        <v>826</v>
      </c>
    </row>
    <row r="74" spans="1:6" s="104" customFormat="1" ht="31.2" customHeight="1" x14ac:dyDescent="0.3">
      <c r="A74" s="107">
        <v>72</v>
      </c>
      <c r="B74" s="107" t="s">
        <v>735</v>
      </c>
      <c r="C74" s="107" t="s">
        <v>21</v>
      </c>
      <c r="D74" s="108" t="s">
        <v>370</v>
      </c>
      <c r="E74" s="109" t="s">
        <v>754</v>
      </c>
      <c r="F74" s="110" t="s">
        <v>827</v>
      </c>
    </row>
    <row r="75" spans="1:6" s="104" customFormat="1" ht="31.2" customHeight="1" x14ac:dyDescent="0.3">
      <c r="A75" s="107">
        <v>73</v>
      </c>
      <c r="B75" s="107" t="s">
        <v>736</v>
      </c>
      <c r="C75" s="107" t="s">
        <v>21</v>
      </c>
      <c r="D75" s="108" t="s">
        <v>370</v>
      </c>
      <c r="E75" s="109" t="s">
        <v>754</v>
      </c>
      <c r="F75" s="110" t="s">
        <v>828</v>
      </c>
    </row>
    <row r="76" spans="1:6" s="104" customFormat="1" ht="31.2" customHeight="1" x14ac:dyDescent="0.3">
      <c r="A76" s="107">
        <v>74</v>
      </c>
      <c r="B76" s="111" t="s">
        <v>737</v>
      </c>
      <c r="C76" s="111" t="s">
        <v>21</v>
      </c>
      <c r="D76" s="111" t="s">
        <v>370</v>
      </c>
      <c r="E76" s="112" t="s">
        <v>769</v>
      </c>
      <c r="F76" s="111" t="s">
        <v>829</v>
      </c>
    </row>
    <row r="77" spans="1:6" s="104" customFormat="1" ht="31.2" customHeight="1" x14ac:dyDescent="0.3">
      <c r="A77" s="107">
        <v>75</v>
      </c>
      <c r="B77" s="107" t="s">
        <v>738</v>
      </c>
      <c r="C77" s="107" t="s">
        <v>21</v>
      </c>
      <c r="D77" s="108" t="s">
        <v>370</v>
      </c>
      <c r="E77" s="109" t="s">
        <v>754</v>
      </c>
      <c r="F77" s="110" t="s">
        <v>830</v>
      </c>
    </row>
    <row r="78" spans="1:6" s="104" customFormat="1" ht="31.2" customHeight="1" x14ac:dyDescent="0.3">
      <c r="A78" s="107">
        <v>76</v>
      </c>
      <c r="B78" s="111" t="s">
        <v>739</v>
      </c>
      <c r="C78" s="111" t="s">
        <v>21</v>
      </c>
      <c r="D78" s="111" t="s">
        <v>370</v>
      </c>
      <c r="E78" s="112" t="s">
        <v>769</v>
      </c>
      <c r="F78" s="111" t="s">
        <v>831</v>
      </c>
    </row>
    <row r="79" spans="1:6" s="104" customFormat="1" ht="31.2" customHeight="1" x14ac:dyDescent="0.3">
      <c r="A79" s="107">
        <v>77</v>
      </c>
      <c r="B79" s="107" t="s">
        <v>740</v>
      </c>
      <c r="C79" s="107" t="s">
        <v>21</v>
      </c>
      <c r="D79" s="108" t="s">
        <v>370</v>
      </c>
      <c r="E79" s="109" t="s">
        <v>754</v>
      </c>
      <c r="F79" s="110" t="s">
        <v>832</v>
      </c>
    </row>
    <row r="80" spans="1:6" s="104" customFormat="1" ht="31.2" customHeight="1" x14ac:dyDescent="0.3">
      <c r="A80" s="107">
        <v>78</v>
      </c>
      <c r="B80" s="107" t="s">
        <v>741</v>
      </c>
      <c r="C80" s="107" t="s">
        <v>21</v>
      </c>
      <c r="D80" s="108" t="s">
        <v>370</v>
      </c>
      <c r="E80" s="109" t="s">
        <v>754</v>
      </c>
      <c r="F80" s="110" t="s">
        <v>833</v>
      </c>
    </row>
    <row r="81" spans="1:6" s="104" customFormat="1" ht="31.2" customHeight="1" x14ac:dyDescent="0.3">
      <c r="A81" s="107">
        <v>79</v>
      </c>
      <c r="B81" s="107" t="s">
        <v>743</v>
      </c>
      <c r="C81" s="107" t="s">
        <v>21</v>
      </c>
      <c r="D81" s="108" t="s">
        <v>370</v>
      </c>
      <c r="E81" s="109" t="s">
        <v>754</v>
      </c>
      <c r="F81" s="110" t="s">
        <v>834</v>
      </c>
    </row>
    <row r="82" spans="1:6" s="104" customFormat="1" ht="31.2" customHeight="1" x14ac:dyDescent="0.3">
      <c r="A82" s="107">
        <v>80</v>
      </c>
      <c r="B82" s="107" t="s">
        <v>744</v>
      </c>
      <c r="C82" s="107" t="s">
        <v>21</v>
      </c>
      <c r="D82" s="108" t="s">
        <v>370</v>
      </c>
      <c r="E82" s="109" t="s">
        <v>754</v>
      </c>
      <c r="F82" s="110" t="s">
        <v>835</v>
      </c>
    </row>
    <row r="83" spans="1:6" s="104" customFormat="1" ht="31.2" customHeight="1" x14ac:dyDescent="0.3">
      <c r="A83" s="107">
        <v>81</v>
      </c>
      <c r="B83" s="107" t="s">
        <v>745</v>
      </c>
      <c r="C83" s="107" t="s">
        <v>21</v>
      </c>
      <c r="D83" s="108" t="s">
        <v>370</v>
      </c>
      <c r="E83" s="109" t="s">
        <v>754</v>
      </c>
      <c r="F83" s="110" t="s">
        <v>836</v>
      </c>
    </row>
    <row r="84" spans="1:6" s="104" customFormat="1" ht="31.2" customHeight="1" x14ac:dyDescent="0.3">
      <c r="A84" s="107">
        <v>82</v>
      </c>
      <c r="B84" s="111" t="s">
        <v>746</v>
      </c>
      <c r="C84" s="111" t="s">
        <v>21</v>
      </c>
      <c r="D84" s="111" t="s">
        <v>370</v>
      </c>
      <c r="E84" s="112" t="s">
        <v>769</v>
      </c>
      <c r="F84" s="111" t="s">
        <v>837</v>
      </c>
    </row>
    <row r="85" spans="1:6" s="104" customFormat="1" ht="31.2" customHeight="1" x14ac:dyDescent="0.3">
      <c r="A85" s="107">
        <v>83</v>
      </c>
      <c r="B85" s="107" t="s">
        <v>747</v>
      </c>
      <c r="C85" s="107" t="s">
        <v>21</v>
      </c>
      <c r="D85" s="108" t="s">
        <v>370</v>
      </c>
      <c r="E85" s="109" t="s">
        <v>754</v>
      </c>
      <c r="F85" s="110" t="s">
        <v>838</v>
      </c>
    </row>
    <row r="86" spans="1:6" s="104" customFormat="1" ht="31.2" customHeight="1" x14ac:dyDescent="0.3">
      <c r="A86" s="107">
        <v>84</v>
      </c>
      <c r="B86" s="111" t="s">
        <v>748</v>
      </c>
      <c r="C86" s="111" t="s">
        <v>21</v>
      </c>
      <c r="D86" s="111" t="s">
        <v>370</v>
      </c>
      <c r="E86" s="112" t="s">
        <v>769</v>
      </c>
      <c r="F86" s="111" t="s">
        <v>839</v>
      </c>
    </row>
    <row r="87" spans="1:6" s="104" customFormat="1" ht="31.2" customHeight="1" x14ac:dyDescent="0.3">
      <c r="A87" s="107">
        <v>85</v>
      </c>
      <c r="B87" s="111" t="s">
        <v>332</v>
      </c>
      <c r="C87" s="111" t="s">
        <v>23</v>
      </c>
      <c r="D87" s="111" t="s">
        <v>370</v>
      </c>
      <c r="E87" s="112" t="s">
        <v>769</v>
      </c>
      <c r="F87" s="111" t="s">
        <v>840</v>
      </c>
    </row>
    <row r="88" spans="1:6" s="104" customFormat="1" ht="31.2" customHeight="1" x14ac:dyDescent="0.3">
      <c r="A88" s="107">
        <v>86</v>
      </c>
      <c r="B88" s="111" t="s">
        <v>344</v>
      </c>
      <c r="C88" s="111" t="s">
        <v>23</v>
      </c>
      <c r="D88" s="111" t="s">
        <v>370</v>
      </c>
      <c r="E88" s="112" t="s">
        <v>769</v>
      </c>
      <c r="F88" s="111" t="s">
        <v>841</v>
      </c>
    </row>
    <row r="89" spans="1:6" s="104" customFormat="1" ht="31.2" customHeight="1" x14ac:dyDescent="0.3">
      <c r="A89" s="107">
        <v>87</v>
      </c>
      <c r="B89" s="111" t="s">
        <v>390</v>
      </c>
      <c r="C89" s="111" t="s">
        <v>23</v>
      </c>
      <c r="D89" s="111" t="s">
        <v>370</v>
      </c>
      <c r="E89" s="112" t="s">
        <v>769</v>
      </c>
      <c r="F89" s="111" t="s">
        <v>842</v>
      </c>
    </row>
    <row r="90" spans="1:6" s="104" customFormat="1" ht="31.2" customHeight="1" x14ac:dyDescent="0.3">
      <c r="A90" s="107">
        <v>88</v>
      </c>
      <c r="B90" s="113" t="s">
        <v>390</v>
      </c>
      <c r="C90" s="113" t="s">
        <v>843</v>
      </c>
      <c r="D90" s="114" t="s">
        <v>369</v>
      </c>
      <c r="E90" s="115" t="s">
        <v>754</v>
      </c>
      <c r="F90" s="116" t="s">
        <v>844</v>
      </c>
    </row>
    <row r="91" spans="1:6" s="104" customFormat="1" ht="31.2" customHeight="1" x14ac:dyDescent="0.3">
      <c r="A91" s="107">
        <v>89</v>
      </c>
      <c r="B91" s="107" t="s">
        <v>628</v>
      </c>
      <c r="C91" s="107" t="s">
        <v>843</v>
      </c>
      <c r="D91" s="108" t="s">
        <v>370</v>
      </c>
      <c r="E91" s="109" t="s">
        <v>754</v>
      </c>
      <c r="F91" s="110" t="s">
        <v>845</v>
      </c>
    </row>
    <row r="92" spans="1:6" s="104" customFormat="1" ht="31.2" customHeight="1" x14ac:dyDescent="0.3">
      <c r="A92" s="107">
        <v>90</v>
      </c>
      <c r="B92" s="111" t="s">
        <v>629</v>
      </c>
      <c r="C92" s="111" t="s">
        <v>843</v>
      </c>
      <c r="D92" s="111" t="s">
        <v>370</v>
      </c>
      <c r="E92" s="112" t="s">
        <v>769</v>
      </c>
      <c r="F92" s="111" t="s">
        <v>846</v>
      </c>
    </row>
    <row r="93" spans="1:6" s="104" customFormat="1" ht="31.2" customHeight="1" x14ac:dyDescent="0.3">
      <c r="A93" s="107">
        <v>91</v>
      </c>
      <c r="B93" s="111" t="s">
        <v>630</v>
      </c>
      <c r="C93" s="111" t="s">
        <v>843</v>
      </c>
      <c r="D93" s="111" t="s">
        <v>370</v>
      </c>
      <c r="E93" s="112" t="s">
        <v>769</v>
      </c>
      <c r="F93" s="111" t="s">
        <v>847</v>
      </c>
    </row>
    <row r="94" spans="1:6" s="104" customFormat="1" ht="31.2" customHeight="1" x14ac:dyDescent="0.3">
      <c r="A94" s="107">
        <v>92</v>
      </c>
      <c r="B94" s="113" t="s">
        <v>629</v>
      </c>
      <c r="C94" s="113" t="s">
        <v>843</v>
      </c>
      <c r="D94" s="114" t="s">
        <v>369</v>
      </c>
      <c r="E94" s="115" t="s">
        <v>754</v>
      </c>
      <c r="F94" s="116" t="s">
        <v>848</v>
      </c>
    </row>
    <row r="95" spans="1:6" s="104" customFormat="1" ht="31.2" customHeight="1" x14ac:dyDescent="0.3">
      <c r="A95" s="107">
        <v>93</v>
      </c>
      <c r="B95" s="111" t="s">
        <v>633</v>
      </c>
      <c r="C95" s="111" t="s">
        <v>843</v>
      </c>
      <c r="D95" s="111" t="s">
        <v>370</v>
      </c>
      <c r="E95" s="112" t="s">
        <v>769</v>
      </c>
      <c r="F95" s="111" t="s">
        <v>849</v>
      </c>
    </row>
    <row r="96" spans="1:6" s="104" customFormat="1" ht="31.2" customHeight="1" x14ac:dyDescent="0.3">
      <c r="A96" s="107">
        <v>94</v>
      </c>
      <c r="B96" s="107" t="s">
        <v>634</v>
      </c>
      <c r="C96" s="107" t="s">
        <v>843</v>
      </c>
      <c r="D96" s="108" t="s">
        <v>370</v>
      </c>
      <c r="E96" s="109" t="s">
        <v>754</v>
      </c>
      <c r="F96" s="110" t="s">
        <v>850</v>
      </c>
    </row>
    <row r="97" spans="1:6" s="104" customFormat="1" ht="31.2" customHeight="1" x14ac:dyDescent="0.3">
      <c r="A97" s="107">
        <v>95</v>
      </c>
      <c r="B97" s="111" t="s">
        <v>636</v>
      </c>
      <c r="C97" s="111" t="s">
        <v>843</v>
      </c>
      <c r="D97" s="111" t="s">
        <v>370</v>
      </c>
      <c r="E97" s="112" t="s">
        <v>769</v>
      </c>
      <c r="F97" s="111" t="s">
        <v>851</v>
      </c>
    </row>
    <row r="98" spans="1:6" s="104" customFormat="1" ht="31.2" customHeight="1" x14ac:dyDescent="0.3">
      <c r="A98" s="107">
        <v>96</v>
      </c>
      <c r="B98" s="111" t="s">
        <v>639</v>
      </c>
      <c r="C98" s="111" t="s">
        <v>843</v>
      </c>
      <c r="D98" s="111" t="s">
        <v>370</v>
      </c>
      <c r="E98" s="112" t="s">
        <v>769</v>
      </c>
      <c r="F98" s="111" t="s">
        <v>852</v>
      </c>
    </row>
    <row r="99" spans="1:6" s="104" customFormat="1" ht="31.2" customHeight="1" x14ac:dyDescent="0.3">
      <c r="A99" s="107">
        <v>97</v>
      </c>
      <c r="B99" s="111" t="s">
        <v>412</v>
      </c>
      <c r="C99" s="111" t="s">
        <v>25</v>
      </c>
      <c r="D99" s="111" t="s">
        <v>370</v>
      </c>
      <c r="E99" s="112" t="s">
        <v>769</v>
      </c>
      <c r="F99" s="111" t="s">
        <v>853</v>
      </c>
    </row>
    <row r="100" spans="1:6" s="104" customFormat="1" ht="31.2" customHeight="1" x14ac:dyDescent="0.3">
      <c r="A100" s="107">
        <v>98</v>
      </c>
      <c r="B100" s="111" t="s">
        <v>423</v>
      </c>
      <c r="C100" s="111" t="s">
        <v>25</v>
      </c>
      <c r="D100" s="111" t="s">
        <v>370</v>
      </c>
      <c r="E100" s="112" t="s">
        <v>769</v>
      </c>
      <c r="F100" s="111" t="s">
        <v>854</v>
      </c>
    </row>
    <row r="101" spans="1:6" s="104" customFormat="1" ht="31.2" customHeight="1" x14ac:dyDescent="0.3">
      <c r="A101" s="107">
        <v>99</v>
      </c>
      <c r="B101" s="111" t="s">
        <v>522</v>
      </c>
      <c r="C101" s="111" t="s">
        <v>25</v>
      </c>
      <c r="D101" s="111" t="s">
        <v>370</v>
      </c>
      <c r="E101" s="112" t="s">
        <v>769</v>
      </c>
      <c r="F101" s="111" t="s">
        <v>855</v>
      </c>
    </row>
    <row r="102" spans="1:6" s="104" customFormat="1" ht="31.2" customHeight="1" x14ac:dyDescent="0.3">
      <c r="A102" s="107">
        <v>100</v>
      </c>
      <c r="B102" s="111" t="s">
        <v>548</v>
      </c>
      <c r="C102" s="111" t="s">
        <v>25</v>
      </c>
      <c r="D102" s="111" t="s">
        <v>370</v>
      </c>
      <c r="E102" s="112" t="s">
        <v>769</v>
      </c>
      <c r="F102" s="111" t="s">
        <v>856</v>
      </c>
    </row>
    <row r="103" spans="1:6" s="104" customFormat="1" ht="31.2" customHeight="1" x14ac:dyDescent="0.3">
      <c r="A103" s="107">
        <v>101</v>
      </c>
      <c r="B103" s="107" t="s">
        <v>550</v>
      </c>
      <c r="C103" s="107" t="s">
        <v>25</v>
      </c>
      <c r="D103" s="108" t="s">
        <v>370</v>
      </c>
      <c r="E103" s="109" t="s">
        <v>754</v>
      </c>
      <c r="F103" s="110" t="s">
        <v>857</v>
      </c>
    </row>
    <row r="104" spans="1:6" s="104" customFormat="1" ht="31.2" customHeight="1" x14ac:dyDescent="0.3">
      <c r="A104" s="107">
        <v>102</v>
      </c>
      <c r="B104" s="107" t="s">
        <v>553</v>
      </c>
      <c r="C104" s="107" t="s">
        <v>25</v>
      </c>
      <c r="D104" s="108" t="s">
        <v>370</v>
      </c>
      <c r="E104" s="109" t="s">
        <v>754</v>
      </c>
      <c r="F104" s="110" t="s">
        <v>858</v>
      </c>
    </row>
    <row r="105" spans="1:6" s="104" customFormat="1" ht="31.2" customHeight="1" x14ac:dyDescent="0.3">
      <c r="A105" s="107">
        <v>103</v>
      </c>
      <c r="B105" s="111" t="s">
        <v>569</v>
      </c>
      <c r="C105" s="111" t="s">
        <v>25</v>
      </c>
      <c r="D105" s="111" t="s">
        <v>370</v>
      </c>
      <c r="E105" s="112" t="s">
        <v>769</v>
      </c>
      <c r="F105" s="111" t="s">
        <v>859</v>
      </c>
    </row>
    <row r="106" spans="1:6" s="104" customFormat="1" ht="31.2" customHeight="1" x14ac:dyDescent="0.3">
      <c r="A106" s="107">
        <v>104</v>
      </c>
      <c r="B106" s="111" t="s">
        <v>570</v>
      </c>
      <c r="C106" s="111" t="s">
        <v>25</v>
      </c>
      <c r="D106" s="111" t="s">
        <v>370</v>
      </c>
      <c r="E106" s="112" t="s">
        <v>769</v>
      </c>
      <c r="F106" s="111" t="s">
        <v>860</v>
      </c>
    </row>
    <row r="107" spans="1:6" s="104" customFormat="1" ht="31.2" customHeight="1" x14ac:dyDescent="0.3">
      <c r="A107" s="107">
        <v>105</v>
      </c>
      <c r="B107" s="111" t="s">
        <v>593</v>
      </c>
      <c r="C107" s="111" t="s">
        <v>31</v>
      </c>
      <c r="D107" s="111" t="s">
        <v>370</v>
      </c>
      <c r="E107" s="112" t="s">
        <v>769</v>
      </c>
      <c r="F107" s="111" t="s">
        <v>861</v>
      </c>
    </row>
    <row r="108" spans="1:6" s="104" customFormat="1" ht="31.2" customHeight="1" x14ac:dyDescent="0.3">
      <c r="A108" s="107">
        <v>106</v>
      </c>
      <c r="B108" s="107" t="s">
        <v>607</v>
      </c>
      <c r="C108" s="107" t="s">
        <v>31</v>
      </c>
      <c r="D108" s="108" t="s">
        <v>370</v>
      </c>
      <c r="E108" s="109" t="s">
        <v>754</v>
      </c>
      <c r="F108" s="110" t="s">
        <v>862</v>
      </c>
    </row>
    <row r="109" spans="1:6" s="104" customFormat="1" ht="31.2" customHeight="1" x14ac:dyDescent="0.3">
      <c r="A109" s="107">
        <v>107</v>
      </c>
      <c r="B109" s="111" t="s">
        <v>611</v>
      </c>
      <c r="C109" s="111" t="s">
        <v>31</v>
      </c>
      <c r="D109" s="111" t="s">
        <v>370</v>
      </c>
      <c r="E109" s="112" t="s">
        <v>769</v>
      </c>
      <c r="F109" s="111" t="s">
        <v>863</v>
      </c>
    </row>
    <row r="110" spans="1:6" s="104" customFormat="1" ht="31.2" customHeight="1" x14ac:dyDescent="0.3">
      <c r="A110" s="107">
        <v>108</v>
      </c>
      <c r="B110" s="107" t="s">
        <v>615</v>
      </c>
      <c r="C110" s="107" t="s">
        <v>31</v>
      </c>
      <c r="D110" s="108" t="s">
        <v>370</v>
      </c>
      <c r="E110" s="109" t="s">
        <v>754</v>
      </c>
      <c r="F110" s="110" t="s">
        <v>864</v>
      </c>
    </row>
    <row r="111" spans="1:6" s="104" customFormat="1" ht="31.2" customHeight="1" x14ac:dyDescent="0.3">
      <c r="A111" s="107">
        <v>109</v>
      </c>
      <c r="B111" s="111" t="s">
        <v>616</v>
      </c>
      <c r="C111" s="111" t="s">
        <v>31</v>
      </c>
      <c r="D111" s="111" t="s">
        <v>370</v>
      </c>
      <c r="E111" s="112" t="s">
        <v>769</v>
      </c>
      <c r="F111" s="111" t="s">
        <v>865</v>
      </c>
    </row>
    <row r="112" spans="1:6" s="104" customFormat="1" ht="31.2" customHeight="1" x14ac:dyDescent="0.3">
      <c r="A112" s="107">
        <v>110</v>
      </c>
      <c r="B112" s="107" t="s">
        <v>617</v>
      </c>
      <c r="C112" s="107" t="s">
        <v>31</v>
      </c>
      <c r="D112" s="108" t="s">
        <v>370</v>
      </c>
      <c r="E112" s="109" t="s">
        <v>754</v>
      </c>
      <c r="F112" s="110" t="s">
        <v>866</v>
      </c>
    </row>
    <row r="113" spans="1:6" s="104" customFormat="1" ht="31.2" customHeight="1" x14ac:dyDescent="0.3">
      <c r="A113" s="107">
        <v>111</v>
      </c>
      <c r="B113" s="111" t="s">
        <v>618</v>
      </c>
      <c r="C113" s="111" t="s">
        <v>31</v>
      </c>
      <c r="D113" s="111" t="s">
        <v>370</v>
      </c>
      <c r="E113" s="112" t="s">
        <v>769</v>
      </c>
      <c r="F113" s="111" t="s">
        <v>867</v>
      </c>
    </row>
    <row r="116" spans="1:6" x14ac:dyDescent="0.3">
      <c r="B116" s="117" t="s">
        <v>868</v>
      </c>
      <c r="C116" s="117" t="s">
        <v>869</v>
      </c>
    </row>
    <row r="117" spans="1:6" x14ac:dyDescent="0.3">
      <c r="B117" s="118" t="s">
        <v>769</v>
      </c>
      <c r="C117" s="112">
        <f>COUNTIF(E3:E113,"KEEP")</f>
        <v>30</v>
      </c>
    </row>
    <row r="118" spans="1:6" x14ac:dyDescent="0.3">
      <c r="B118" s="115" t="s">
        <v>870</v>
      </c>
      <c r="C118" s="115">
        <f>COUNTIF(D2:D113,"YES")</f>
        <v>3</v>
      </c>
    </row>
    <row r="119" spans="1:6" x14ac:dyDescent="0.3">
      <c r="B119" s="109" t="s">
        <v>754</v>
      </c>
      <c r="C119" s="109">
        <f>COUNTIF(E3:E113,"EXCLUDE")</f>
        <v>81</v>
      </c>
    </row>
  </sheetData>
  <mergeCells count="1">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0B3C-8B36-443A-ACBD-4C6C781E1769}">
  <sheetPr>
    <tabColor theme="2" tint="-0.749992370372631"/>
  </sheetPr>
  <dimension ref="A1:G48"/>
  <sheetViews>
    <sheetView zoomScale="55" zoomScaleNormal="55" workbookViewId="0">
      <selection activeCell="D11" sqref="D11"/>
    </sheetView>
  </sheetViews>
  <sheetFormatPr defaultRowHeight="14.4" x14ac:dyDescent="0.3"/>
  <cols>
    <col min="1" max="1" width="7.44140625" customWidth="1"/>
    <col min="2" max="2" width="11.5546875" customWidth="1"/>
    <col min="3" max="3" width="41" customWidth="1"/>
    <col min="4" max="4" width="22.5546875" customWidth="1"/>
    <col min="5" max="5" width="107.109375" style="104" customWidth="1"/>
    <col min="6" max="6" width="30.44140625" customWidth="1"/>
    <col min="7" max="7" width="58.21875" customWidth="1"/>
  </cols>
  <sheetData>
    <row r="1" spans="1:7" ht="25.2" customHeight="1" x14ac:dyDescent="0.35">
      <c r="A1" s="170" t="s">
        <v>872</v>
      </c>
      <c r="B1" s="171"/>
      <c r="C1" s="171"/>
      <c r="D1" s="171"/>
      <c r="E1" s="171"/>
      <c r="F1" s="171"/>
      <c r="G1" s="171"/>
    </row>
    <row r="2" spans="1:7" ht="25.2" customHeight="1" x14ac:dyDescent="0.3">
      <c r="A2" s="119" t="s">
        <v>141</v>
      </c>
      <c r="B2" s="119" t="s">
        <v>873</v>
      </c>
      <c r="C2" s="119" t="s">
        <v>174</v>
      </c>
      <c r="D2" s="119" t="s">
        <v>874</v>
      </c>
      <c r="E2" s="119" t="s">
        <v>875</v>
      </c>
      <c r="F2" s="119" t="s">
        <v>213</v>
      </c>
      <c r="G2" s="119" t="s">
        <v>876</v>
      </c>
    </row>
    <row r="3" spans="1:7" ht="78.599999999999994" customHeight="1" x14ac:dyDescent="0.3">
      <c r="A3" s="120">
        <v>1</v>
      </c>
      <c r="B3" s="120">
        <v>15</v>
      </c>
      <c r="C3" s="120" t="s">
        <v>676</v>
      </c>
      <c r="D3" s="120" t="s">
        <v>21</v>
      </c>
      <c r="E3" s="120" t="s">
        <v>877</v>
      </c>
      <c r="F3" s="121" t="s">
        <v>769</v>
      </c>
      <c r="G3" s="120"/>
    </row>
    <row r="4" spans="1:7" ht="78.599999999999994" customHeight="1" x14ac:dyDescent="0.3">
      <c r="A4" s="120">
        <v>2</v>
      </c>
      <c r="B4" s="120">
        <v>22</v>
      </c>
      <c r="C4" s="120" t="s">
        <v>685</v>
      </c>
      <c r="D4" s="120" t="s">
        <v>21</v>
      </c>
      <c r="E4" s="120" t="s">
        <v>878</v>
      </c>
      <c r="F4" s="122" t="s">
        <v>754</v>
      </c>
      <c r="G4" s="120" t="s">
        <v>879</v>
      </c>
    </row>
    <row r="5" spans="1:7" ht="78.599999999999994" customHeight="1" x14ac:dyDescent="0.3">
      <c r="A5" s="120">
        <v>3</v>
      </c>
      <c r="B5" s="120">
        <v>40</v>
      </c>
      <c r="C5" s="120" t="s">
        <v>702</v>
      </c>
      <c r="D5" s="120" t="s">
        <v>21</v>
      </c>
      <c r="E5" s="120" t="s">
        <v>880</v>
      </c>
      <c r="F5" s="122" t="s">
        <v>754</v>
      </c>
      <c r="G5" s="120" t="s">
        <v>881</v>
      </c>
    </row>
    <row r="6" spans="1:7" ht="78.599999999999994" customHeight="1" x14ac:dyDescent="0.3">
      <c r="A6" s="120">
        <v>4</v>
      </c>
      <c r="B6" s="120">
        <v>55</v>
      </c>
      <c r="C6" s="120" t="s">
        <v>717</v>
      </c>
      <c r="D6" s="120" t="s">
        <v>21</v>
      </c>
      <c r="E6" s="120" t="s">
        <v>882</v>
      </c>
      <c r="F6" s="122" t="s">
        <v>754</v>
      </c>
      <c r="G6" s="120" t="s">
        <v>883</v>
      </c>
    </row>
    <row r="7" spans="1:7" ht="78.599999999999994" customHeight="1" x14ac:dyDescent="0.3">
      <c r="A7" s="120">
        <v>5</v>
      </c>
      <c r="B7" s="120">
        <v>59</v>
      </c>
      <c r="C7" s="120" t="s">
        <v>722</v>
      </c>
      <c r="D7" s="120" t="s">
        <v>21</v>
      </c>
      <c r="E7" s="120" t="s">
        <v>884</v>
      </c>
      <c r="F7" s="121" t="s">
        <v>769</v>
      </c>
      <c r="G7" s="120"/>
    </row>
    <row r="8" spans="1:7" ht="78.599999999999994" customHeight="1" x14ac:dyDescent="0.3">
      <c r="A8" s="120">
        <v>6</v>
      </c>
      <c r="B8" s="120">
        <v>61</v>
      </c>
      <c r="C8" s="120" t="s">
        <v>724</v>
      </c>
      <c r="D8" s="120" t="s">
        <v>21</v>
      </c>
      <c r="E8" s="120" t="s">
        <v>885</v>
      </c>
      <c r="F8" s="121" t="s">
        <v>769</v>
      </c>
      <c r="G8" s="120"/>
    </row>
    <row r="9" spans="1:7" ht="78.599999999999994" customHeight="1" x14ac:dyDescent="0.3">
      <c r="A9" s="120">
        <v>7</v>
      </c>
      <c r="B9" s="120">
        <v>67</v>
      </c>
      <c r="C9" s="120" t="s">
        <v>730</v>
      </c>
      <c r="D9" s="120" t="s">
        <v>21</v>
      </c>
      <c r="E9" s="120" t="s">
        <v>886</v>
      </c>
      <c r="F9" s="121" t="s">
        <v>769</v>
      </c>
      <c r="G9" s="120"/>
    </row>
    <row r="10" spans="1:7" ht="78.599999999999994" customHeight="1" x14ac:dyDescent="0.3">
      <c r="A10" s="120">
        <v>8</v>
      </c>
      <c r="B10" s="120">
        <v>71</v>
      </c>
      <c r="C10" s="120" t="s">
        <v>734</v>
      </c>
      <c r="D10" s="120" t="s">
        <v>21</v>
      </c>
      <c r="E10" s="120" t="s">
        <v>887</v>
      </c>
      <c r="F10" s="121" t="s">
        <v>769</v>
      </c>
      <c r="G10" s="120"/>
    </row>
    <row r="11" spans="1:7" ht="78.599999999999994" customHeight="1" x14ac:dyDescent="0.3">
      <c r="A11" s="120">
        <v>9</v>
      </c>
      <c r="B11" s="120">
        <v>74</v>
      </c>
      <c r="C11" s="120" t="s">
        <v>737</v>
      </c>
      <c r="D11" s="120" t="s">
        <v>21</v>
      </c>
      <c r="E11" s="120" t="s">
        <v>888</v>
      </c>
      <c r="F11" s="121" t="s">
        <v>769</v>
      </c>
      <c r="G11" s="120"/>
    </row>
    <row r="12" spans="1:7" ht="78.599999999999994" customHeight="1" x14ac:dyDescent="0.3">
      <c r="A12" s="120">
        <v>10</v>
      </c>
      <c r="B12" s="120">
        <v>76</v>
      </c>
      <c r="C12" s="120" t="s">
        <v>739</v>
      </c>
      <c r="D12" s="120" t="s">
        <v>21</v>
      </c>
      <c r="E12" s="120" t="s">
        <v>889</v>
      </c>
      <c r="F12" s="122" t="s">
        <v>754</v>
      </c>
      <c r="G12" s="120" t="s">
        <v>890</v>
      </c>
    </row>
    <row r="13" spans="1:7" ht="78.599999999999994" customHeight="1" x14ac:dyDescent="0.3">
      <c r="A13" s="120">
        <v>11</v>
      </c>
      <c r="B13" s="120">
        <v>82</v>
      </c>
      <c r="C13" s="120" t="s">
        <v>746</v>
      </c>
      <c r="D13" s="120" t="s">
        <v>21</v>
      </c>
      <c r="E13" s="120" t="s">
        <v>891</v>
      </c>
      <c r="F13" s="122" t="s">
        <v>754</v>
      </c>
      <c r="G13" s="120" t="s">
        <v>892</v>
      </c>
    </row>
    <row r="14" spans="1:7" ht="78.599999999999994" customHeight="1" x14ac:dyDescent="0.3">
      <c r="A14" s="120">
        <v>12</v>
      </c>
      <c r="B14" s="120">
        <v>84</v>
      </c>
      <c r="C14" s="120" t="s">
        <v>748</v>
      </c>
      <c r="D14" s="120" t="s">
        <v>21</v>
      </c>
      <c r="E14" s="120" t="s">
        <v>893</v>
      </c>
      <c r="F14" s="121" t="s">
        <v>769</v>
      </c>
      <c r="G14" s="120"/>
    </row>
    <row r="15" spans="1:7" ht="78.599999999999994" customHeight="1" x14ac:dyDescent="0.3">
      <c r="A15" s="120">
        <v>13</v>
      </c>
      <c r="B15" s="120">
        <v>85</v>
      </c>
      <c r="C15" s="120" t="s">
        <v>332</v>
      </c>
      <c r="D15" s="120" t="s">
        <v>23</v>
      </c>
      <c r="E15" s="120" t="s">
        <v>894</v>
      </c>
      <c r="F15" s="121" t="s">
        <v>769</v>
      </c>
      <c r="G15" s="120"/>
    </row>
    <row r="16" spans="1:7" ht="78.599999999999994" customHeight="1" x14ac:dyDescent="0.3">
      <c r="A16" s="120">
        <v>14</v>
      </c>
      <c r="B16" s="120">
        <v>86</v>
      </c>
      <c r="C16" s="120" t="s">
        <v>344</v>
      </c>
      <c r="D16" s="120" t="s">
        <v>23</v>
      </c>
      <c r="E16" s="120" t="s">
        <v>895</v>
      </c>
      <c r="F16" s="121" t="s">
        <v>769</v>
      </c>
      <c r="G16" s="120"/>
    </row>
    <row r="17" spans="1:7" ht="78.599999999999994" customHeight="1" x14ac:dyDescent="0.3">
      <c r="A17" s="120">
        <v>15</v>
      </c>
      <c r="B17" s="120">
        <v>87</v>
      </c>
      <c r="C17" s="120" t="s">
        <v>390</v>
      </c>
      <c r="D17" s="120" t="s">
        <v>23</v>
      </c>
      <c r="E17" s="120" t="s">
        <v>896</v>
      </c>
      <c r="F17" s="121" t="s">
        <v>769</v>
      </c>
      <c r="G17" s="120"/>
    </row>
    <row r="18" spans="1:7" ht="78.599999999999994" customHeight="1" x14ac:dyDescent="0.3">
      <c r="A18" s="120">
        <v>16</v>
      </c>
      <c r="B18" s="120">
        <v>90</v>
      </c>
      <c r="C18" s="120" t="s">
        <v>629</v>
      </c>
      <c r="D18" s="120" t="s">
        <v>843</v>
      </c>
      <c r="E18" s="120" t="s">
        <v>897</v>
      </c>
      <c r="F18" s="122" t="s">
        <v>754</v>
      </c>
      <c r="G18" s="120" t="s">
        <v>898</v>
      </c>
    </row>
    <row r="19" spans="1:7" ht="78.599999999999994" customHeight="1" x14ac:dyDescent="0.3">
      <c r="A19" s="120">
        <v>17</v>
      </c>
      <c r="B19" s="120">
        <v>91</v>
      </c>
      <c r="C19" s="120" t="s">
        <v>630</v>
      </c>
      <c r="D19" s="120" t="s">
        <v>843</v>
      </c>
      <c r="E19" s="120" t="s">
        <v>899</v>
      </c>
      <c r="F19" s="121" t="s">
        <v>769</v>
      </c>
      <c r="G19" s="120"/>
    </row>
    <row r="20" spans="1:7" ht="78.599999999999994" customHeight="1" x14ac:dyDescent="0.3">
      <c r="A20" s="120">
        <v>18</v>
      </c>
      <c r="B20" s="120">
        <v>93</v>
      </c>
      <c r="C20" s="120" t="s">
        <v>633</v>
      </c>
      <c r="D20" s="120" t="s">
        <v>843</v>
      </c>
      <c r="E20" s="120" t="s">
        <v>900</v>
      </c>
      <c r="F20" s="121" t="s">
        <v>769</v>
      </c>
      <c r="G20" s="120"/>
    </row>
    <row r="21" spans="1:7" ht="78.599999999999994" customHeight="1" x14ac:dyDescent="0.3">
      <c r="A21" s="120">
        <v>19</v>
      </c>
      <c r="B21" s="120">
        <v>95</v>
      </c>
      <c r="C21" s="120" t="s">
        <v>636</v>
      </c>
      <c r="D21" s="120" t="s">
        <v>843</v>
      </c>
      <c r="E21" s="120" t="s">
        <v>901</v>
      </c>
      <c r="F21" s="122" t="s">
        <v>754</v>
      </c>
      <c r="G21" s="120" t="s">
        <v>902</v>
      </c>
    </row>
    <row r="22" spans="1:7" ht="78.599999999999994" customHeight="1" x14ac:dyDescent="0.3">
      <c r="A22" s="120">
        <v>20</v>
      </c>
      <c r="B22" s="120">
        <v>96</v>
      </c>
      <c r="C22" s="120" t="s">
        <v>639</v>
      </c>
      <c r="D22" s="120" t="s">
        <v>843</v>
      </c>
      <c r="E22" s="120" t="s">
        <v>903</v>
      </c>
      <c r="F22" s="121" t="s">
        <v>769</v>
      </c>
      <c r="G22" s="120"/>
    </row>
    <row r="23" spans="1:7" ht="78.599999999999994" customHeight="1" x14ac:dyDescent="0.3">
      <c r="A23" s="120">
        <v>21</v>
      </c>
      <c r="B23" s="120">
        <v>97</v>
      </c>
      <c r="C23" s="120" t="s">
        <v>412</v>
      </c>
      <c r="D23" s="120" t="s">
        <v>25</v>
      </c>
      <c r="E23" s="120" t="s">
        <v>904</v>
      </c>
      <c r="F23" s="121" t="s">
        <v>769</v>
      </c>
      <c r="G23" s="120"/>
    </row>
    <row r="24" spans="1:7" ht="78.599999999999994" customHeight="1" x14ac:dyDescent="0.3">
      <c r="A24" s="120">
        <v>22</v>
      </c>
      <c r="B24" s="120">
        <v>98</v>
      </c>
      <c r="C24" s="120" t="s">
        <v>423</v>
      </c>
      <c r="D24" s="120" t="s">
        <v>25</v>
      </c>
      <c r="E24" s="120" t="s">
        <v>905</v>
      </c>
      <c r="F24" s="121" t="s">
        <v>769</v>
      </c>
      <c r="G24" s="120"/>
    </row>
    <row r="25" spans="1:7" ht="78.599999999999994" customHeight="1" x14ac:dyDescent="0.3">
      <c r="A25" s="120">
        <v>23</v>
      </c>
      <c r="B25" s="120">
        <v>99</v>
      </c>
      <c r="C25" s="120" t="s">
        <v>522</v>
      </c>
      <c r="D25" s="120" t="s">
        <v>25</v>
      </c>
      <c r="E25" s="120" t="s">
        <v>906</v>
      </c>
      <c r="F25" s="121" t="s">
        <v>769</v>
      </c>
      <c r="G25" s="120"/>
    </row>
    <row r="26" spans="1:7" ht="78.599999999999994" customHeight="1" x14ac:dyDescent="0.3">
      <c r="A26" s="120">
        <v>24</v>
      </c>
      <c r="B26" s="120">
        <v>100</v>
      </c>
      <c r="C26" s="120" t="s">
        <v>548</v>
      </c>
      <c r="D26" s="120" t="s">
        <v>25</v>
      </c>
      <c r="E26" s="120" t="s">
        <v>907</v>
      </c>
      <c r="F26" s="121" t="s">
        <v>769</v>
      </c>
      <c r="G26" s="120"/>
    </row>
    <row r="27" spans="1:7" ht="78.599999999999994" customHeight="1" x14ac:dyDescent="0.3">
      <c r="A27" s="120">
        <v>25</v>
      </c>
      <c r="B27" s="120">
        <v>103</v>
      </c>
      <c r="C27" s="120" t="s">
        <v>569</v>
      </c>
      <c r="D27" s="120" t="s">
        <v>25</v>
      </c>
      <c r="E27" s="120" t="s">
        <v>908</v>
      </c>
      <c r="F27" s="121" t="s">
        <v>769</v>
      </c>
      <c r="G27" s="120"/>
    </row>
    <row r="28" spans="1:7" ht="78.599999999999994" customHeight="1" x14ac:dyDescent="0.3">
      <c r="A28" s="120">
        <v>26</v>
      </c>
      <c r="B28" s="120">
        <v>104</v>
      </c>
      <c r="C28" s="120" t="s">
        <v>570</v>
      </c>
      <c r="D28" s="120" t="s">
        <v>25</v>
      </c>
      <c r="E28" s="120" t="s">
        <v>909</v>
      </c>
      <c r="F28" s="121" t="s">
        <v>769</v>
      </c>
      <c r="G28" s="120"/>
    </row>
    <row r="29" spans="1:7" ht="78.599999999999994" customHeight="1" x14ac:dyDescent="0.3">
      <c r="A29" s="120">
        <v>27</v>
      </c>
      <c r="B29" s="120">
        <v>105</v>
      </c>
      <c r="C29" s="120" t="s">
        <v>593</v>
      </c>
      <c r="D29" s="120" t="s">
        <v>31</v>
      </c>
      <c r="E29" s="120" t="s">
        <v>910</v>
      </c>
      <c r="F29" s="121" t="s">
        <v>769</v>
      </c>
      <c r="G29" s="120"/>
    </row>
    <row r="30" spans="1:7" ht="78.599999999999994" customHeight="1" x14ac:dyDescent="0.3">
      <c r="A30" s="120">
        <v>28</v>
      </c>
      <c r="B30" s="120">
        <v>107</v>
      </c>
      <c r="C30" s="120" t="s">
        <v>611</v>
      </c>
      <c r="D30" s="120" t="s">
        <v>31</v>
      </c>
      <c r="E30" s="120" t="s">
        <v>911</v>
      </c>
      <c r="F30" s="121" t="s">
        <v>769</v>
      </c>
      <c r="G30" s="120"/>
    </row>
    <row r="31" spans="1:7" ht="78.599999999999994" customHeight="1" x14ac:dyDescent="0.3">
      <c r="A31" s="120">
        <v>29</v>
      </c>
      <c r="B31" s="120">
        <v>109</v>
      </c>
      <c r="C31" s="120" t="s">
        <v>616</v>
      </c>
      <c r="D31" s="120" t="s">
        <v>31</v>
      </c>
      <c r="E31" s="120" t="s">
        <v>912</v>
      </c>
      <c r="F31" s="122" t="s">
        <v>754</v>
      </c>
      <c r="G31" s="120" t="s">
        <v>913</v>
      </c>
    </row>
    <row r="32" spans="1:7" ht="78.599999999999994" customHeight="1" x14ac:dyDescent="0.3">
      <c r="A32" s="120">
        <v>30</v>
      </c>
      <c r="B32" s="120">
        <v>111</v>
      </c>
      <c r="C32" s="120" t="s">
        <v>618</v>
      </c>
      <c r="D32" s="120" t="s">
        <v>31</v>
      </c>
      <c r="E32" s="120" t="s">
        <v>914</v>
      </c>
      <c r="F32" s="121" t="s">
        <v>769</v>
      </c>
      <c r="G32" s="120"/>
    </row>
    <row r="33" spans="1:7" ht="78.599999999999994" customHeight="1" x14ac:dyDescent="0.3">
      <c r="A33" s="120">
        <v>31</v>
      </c>
      <c r="B33" s="124"/>
      <c r="C33" s="124" t="s">
        <v>915</v>
      </c>
      <c r="D33" s="124" t="s">
        <v>916</v>
      </c>
      <c r="E33" s="120" t="s">
        <v>917</v>
      </c>
      <c r="F33" s="121" t="s">
        <v>769</v>
      </c>
      <c r="G33" s="124"/>
    </row>
    <row r="34" spans="1:7" ht="78.599999999999994" customHeight="1" x14ac:dyDescent="0.3">
      <c r="A34" s="120">
        <v>32</v>
      </c>
      <c r="B34" s="124"/>
      <c r="C34" s="124" t="s">
        <v>918</v>
      </c>
      <c r="D34" s="124" t="s">
        <v>916</v>
      </c>
      <c r="E34" s="120" t="s">
        <v>919</v>
      </c>
      <c r="F34" s="121" t="s">
        <v>769</v>
      </c>
      <c r="G34" s="124"/>
    </row>
    <row r="35" spans="1:7" ht="78.599999999999994" customHeight="1" x14ac:dyDescent="0.3">
      <c r="A35" s="120">
        <v>33</v>
      </c>
      <c r="B35" s="124"/>
      <c r="C35" s="124" t="s">
        <v>920</v>
      </c>
      <c r="D35" s="124" t="s">
        <v>916</v>
      </c>
      <c r="E35" s="120" t="s">
        <v>921</v>
      </c>
      <c r="F35" s="121" t="s">
        <v>769</v>
      </c>
      <c r="G35" s="124"/>
    </row>
    <row r="36" spans="1:7" ht="78.599999999999994" customHeight="1" x14ac:dyDescent="0.3">
      <c r="A36" s="120">
        <v>34</v>
      </c>
      <c r="B36" s="124"/>
      <c r="C36" s="124" t="s">
        <v>922</v>
      </c>
      <c r="D36" s="124" t="s">
        <v>916</v>
      </c>
      <c r="E36" s="120" t="s">
        <v>923</v>
      </c>
      <c r="F36" s="121" t="s">
        <v>769</v>
      </c>
      <c r="G36" s="124"/>
    </row>
    <row r="37" spans="1:7" ht="78.599999999999994" customHeight="1" x14ac:dyDescent="0.3">
      <c r="A37" s="120">
        <v>35</v>
      </c>
      <c r="B37" s="124"/>
      <c r="C37" s="124" t="s">
        <v>924</v>
      </c>
      <c r="D37" s="124" t="s">
        <v>916</v>
      </c>
      <c r="E37" s="120" t="s">
        <v>925</v>
      </c>
      <c r="F37" s="121" t="s">
        <v>769</v>
      </c>
      <c r="G37" s="124"/>
    </row>
    <row r="38" spans="1:7" ht="78.599999999999994" customHeight="1" x14ac:dyDescent="0.3">
      <c r="A38" s="120">
        <v>36</v>
      </c>
      <c r="B38" s="124"/>
      <c r="C38" s="124" t="s">
        <v>61</v>
      </c>
      <c r="D38" s="124" t="s">
        <v>916</v>
      </c>
      <c r="E38" s="120" t="s">
        <v>926</v>
      </c>
      <c r="F38" s="121" t="s">
        <v>769</v>
      </c>
      <c r="G38" s="124"/>
    </row>
    <row r="39" spans="1:7" ht="78.599999999999994" customHeight="1" x14ac:dyDescent="0.3">
      <c r="A39" s="120">
        <v>37</v>
      </c>
      <c r="B39" s="124"/>
      <c r="C39" s="124" t="s">
        <v>927</v>
      </c>
      <c r="D39" s="124" t="s">
        <v>916</v>
      </c>
      <c r="E39" s="120" t="s">
        <v>928</v>
      </c>
      <c r="F39" s="121" t="s">
        <v>769</v>
      </c>
      <c r="G39" s="124"/>
    </row>
    <row r="40" spans="1:7" ht="78.599999999999994" customHeight="1" x14ac:dyDescent="0.3">
      <c r="A40" s="120">
        <v>38</v>
      </c>
      <c r="B40" s="124"/>
      <c r="C40" s="124" t="s">
        <v>929</v>
      </c>
      <c r="D40" s="124" t="s">
        <v>916</v>
      </c>
      <c r="E40" s="120" t="s">
        <v>930</v>
      </c>
      <c r="F40" s="121" t="s">
        <v>769</v>
      </c>
      <c r="G40" s="124"/>
    </row>
    <row r="41" spans="1:7" ht="78.599999999999994" customHeight="1" x14ac:dyDescent="0.3">
      <c r="A41" s="120">
        <v>39</v>
      </c>
      <c r="B41" s="124"/>
      <c r="C41" s="124" t="s">
        <v>931</v>
      </c>
      <c r="D41" s="124" t="s">
        <v>916</v>
      </c>
      <c r="E41" s="120" t="s">
        <v>932</v>
      </c>
      <c r="F41" s="121" t="s">
        <v>769</v>
      </c>
      <c r="G41" s="124"/>
    </row>
    <row r="42" spans="1:7" ht="78.599999999999994" customHeight="1" x14ac:dyDescent="0.3">
      <c r="A42" s="120">
        <v>40</v>
      </c>
      <c r="B42" s="124"/>
      <c r="C42" s="124" t="s">
        <v>933</v>
      </c>
      <c r="D42" s="124" t="s">
        <v>916</v>
      </c>
      <c r="E42" s="120" t="s">
        <v>934</v>
      </c>
      <c r="F42" s="121" t="s">
        <v>769</v>
      </c>
      <c r="G42" s="124"/>
    </row>
    <row r="43" spans="1:7" ht="78.599999999999994" customHeight="1" x14ac:dyDescent="0.3">
      <c r="A43" s="120">
        <v>41</v>
      </c>
      <c r="B43" s="124"/>
      <c r="C43" s="124" t="s">
        <v>935</v>
      </c>
      <c r="D43" s="124" t="s">
        <v>916</v>
      </c>
      <c r="E43" s="120" t="s">
        <v>936</v>
      </c>
      <c r="F43" s="121" t="s">
        <v>769</v>
      </c>
      <c r="G43" s="124"/>
    </row>
    <row r="44" spans="1:7" ht="78.599999999999994" customHeight="1" x14ac:dyDescent="0.3">
      <c r="A44" s="120">
        <v>42</v>
      </c>
      <c r="B44" s="124"/>
      <c r="C44" s="124" t="s">
        <v>937</v>
      </c>
      <c r="D44" s="124" t="s">
        <v>916</v>
      </c>
      <c r="E44" s="120" t="s">
        <v>938</v>
      </c>
      <c r="F44" s="121" t="s">
        <v>769</v>
      </c>
      <c r="G44" s="124"/>
    </row>
    <row r="45" spans="1:7" ht="78.599999999999994" customHeight="1" x14ac:dyDescent="0.3">
      <c r="A45" s="120">
        <v>43</v>
      </c>
      <c r="B45" s="124"/>
      <c r="C45" s="124" t="s">
        <v>939</v>
      </c>
      <c r="D45" s="124" t="s">
        <v>916</v>
      </c>
      <c r="E45" s="120" t="s">
        <v>940</v>
      </c>
      <c r="F45" s="121" t="s">
        <v>769</v>
      </c>
      <c r="G45" s="124"/>
    </row>
    <row r="46" spans="1:7" ht="78.599999999999994" customHeight="1" x14ac:dyDescent="0.3">
      <c r="A46" s="120">
        <v>44</v>
      </c>
      <c r="B46" s="124"/>
      <c r="C46" s="124" t="s">
        <v>941</v>
      </c>
      <c r="D46" s="124" t="s">
        <v>916</v>
      </c>
      <c r="E46" s="120" t="s">
        <v>942</v>
      </c>
      <c r="F46" s="121" t="s">
        <v>769</v>
      </c>
      <c r="G46" s="124"/>
    </row>
    <row r="47" spans="1:7" ht="78.599999999999994" customHeight="1" x14ac:dyDescent="0.3">
      <c r="A47" s="120">
        <v>45</v>
      </c>
      <c r="B47" s="124"/>
      <c r="C47" s="124" t="s">
        <v>943</v>
      </c>
      <c r="D47" s="124" t="s">
        <v>916</v>
      </c>
      <c r="E47" s="120" t="s">
        <v>944</v>
      </c>
      <c r="F47" s="121" t="s">
        <v>769</v>
      </c>
      <c r="G47" s="124"/>
    </row>
    <row r="48" spans="1:7" ht="25.8" customHeight="1" x14ac:dyDescent="0.3">
      <c r="A48" s="172" t="s">
        <v>945</v>
      </c>
      <c r="B48" s="173"/>
      <c r="C48" s="173"/>
      <c r="D48" s="173"/>
      <c r="E48" s="173"/>
      <c r="F48" s="123">
        <f>COUNTIF(F3:F47,"KEEP")</f>
        <v>37</v>
      </c>
      <c r="G48" s="124"/>
    </row>
  </sheetData>
  <mergeCells count="2">
    <mergeCell ref="A1:G1"/>
    <mergeCell ref="A48:E4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H39"/>
  <sheetViews>
    <sheetView tabSelected="1" topLeftCell="A34" zoomScale="55" zoomScaleNormal="55" workbookViewId="0">
      <selection activeCell="C24" sqref="C24"/>
    </sheetView>
  </sheetViews>
  <sheetFormatPr defaultRowHeight="14.4" x14ac:dyDescent="0.3"/>
  <cols>
    <col min="1" max="1" width="9.44140625" customWidth="1"/>
    <col min="2" max="2" width="64.88671875" customWidth="1"/>
    <col min="3" max="3" width="45.6640625" customWidth="1"/>
    <col min="4" max="4" width="40.5546875" customWidth="1"/>
    <col min="5" max="5" width="35.88671875" customWidth="1"/>
    <col min="6" max="6" width="29.44140625" customWidth="1"/>
    <col min="7" max="7" width="23.109375" customWidth="1"/>
    <col min="8" max="8" width="13.77734375" customWidth="1"/>
  </cols>
  <sheetData>
    <row r="1" spans="1:8" ht="30" customHeight="1" x14ac:dyDescent="0.3">
      <c r="A1" s="137" t="s">
        <v>871</v>
      </c>
      <c r="B1" s="138"/>
      <c r="C1" s="138"/>
      <c r="D1" s="138"/>
      <c r="E1" s="138"/>
      <c r="F1" s="138"/>
      <c r="G1" s="139"/>
    </row>
    <row r="2" spans="1:8" ht="36" customHeight="1" x14ac:dyDescent="0.3">
      <c r="A2" s="128" t="s">
        <v>141</v>
      </c>
      <c r="B2" s="128" t="s">
        <v>174</v>
      </c>
      <c r="C2" s="128" t="s">
        <v>214</v>
      </c>
      <c r="D2" s="128" t="s">
        <v>215</v>
      </c>
      <c r="E2" s="128" t="s">
        <v>216</v>
      </c>
      <c r="F2" s="128" t="s">
        <v>217</v>
      </c>
      <c r="G2" s="128" t="s">
        <v>218</v>
      </c>
      <c r="H2" s="133" t="s">
        <v>1033</v>
      </c>
    </row>
    <row r="3" spans="1:8" ht="83.4" customHeight="1" x14ac:dyDescent="0.3">
      <c r="A3" s="79">
        <v>1</v>
      </c>
      <c r="B3" s="79" t="s">
        <v>676</v>
      </c>
      <c r="C3" s="126" t="s">
        <v>21</v>
      </c>
      <c r="D3" s="79" t="s">
        <v>946</v>
      </c>
      <c r="E3" s="126" t="s">
        <v>947</v>
      </c>
      <c r="F3" s="79" t="s">
        <v>948</v>
      </c>
      <c r="G3" s="129" t="s">
        <v>949</v>
      </c>
    </row>
    <row r="4" spans="1:8" ht="83.4" customHeight="1" x14ac:dyDescent="0.3">
      <c r="A4" s="125">
        <v>2</v>
      </c>
      <c r="B4" s="125" t="s">
        <v>722</v>
      </c>
      <c r="C4" s="127" t="s">
        <v>21</v>
      </c>
      <c r="D4" s="125" t="s">
        <v>950</v>
      </c>
      <c r="E4" s="127" t="s">
        <v>951</v>
      </c>
      <c r="F4" s="125" t="s">
        <v>952</v>
      </c>
      <c r="G4" s="129" t="s">
        <v>949</v>
      </c>
    </row>
    <row r="5" spans="1:8" ht="83.4" customHeight="1" x14ac:dyDescent="0.3">
      <c r="A5" s="79">
        <v>3</v>
      </c>
      <c r="B5" s="79" t="s">
        <v>724</v>
      </c>
      <c r="C5" s="126" t="s">
        <v>21</v>
      </c>
      <c r="D5" s="79" t="s">
        <v>953</v>
      </c>
      <c r="E5" s="126" t="s">
        <v>947</v>
      </c>
      <c r="F5" s="79" t="s">
        <v>954</v>
      </c>
      <c r="G5" s="129" t="s">
        <v>949</v>
      </c>
    </row>
    <row r="6" spans="1:8" ht="83.4" customHeight="1" x14ac:dyDescent="0.3">
      <c r="A6" s="125">
        <v>4</v>
      </c>
      <c r="B6" s="125" t="s">
        <v>730</v>
      </c>
      <c r="C6" s="127" t="s">
        <v>21</v>
      </c>
      <c r="D6" s="125" t="s">
        <v>955</v>
      </c>
      <c r="E6" s="127" t="s">
        <v>956</v>
      </c>
      <c r="F6" s="125" t="s">
        <v>957</v>
      </c>
      <c r="G6" s="129" t="s">
        <v>949</v>
      </c>
    </row>
    <row r="7" spans="1:8" ht="83.4" customHeight="1" x14ac:dyDescent="0.3">
      <c r="A7" s="79">
        <v>5</v>
      </c>
      <c r="B7" s="79" t="s">
        <v>734</v>
      </c>
      <c r="C7" s="126" t="s">
        <v>21</v>
      </c>
      <c r="D7" s="79" t="s">
        <v>958</v>
      </c>
      <c r="E7" s="126" t="s">
        <v>956</v>
      </c>
      <c r="F7" s="79" t="s">
        <v>959</v>
      </c>
      <c r="G7" s="129" t="s">
        <v>949</v>
      </c>
    </row>
    <row r="8" spans="1:8" ht="83.4" customHeight="1" x14ac:dyDescent="0.3">
      <c r="A8" s="125">
        <v>6</v>
      </c>
      <c r="B8" s="71" t="s">
        <v>737</v>
      </c>
      <c r="C8" s="127" t="s">
        <v>21</v>
      </c>
      <c r="D8" s="125" t="s">
        <v>960</v>
      </c>
      <c r="E8" s="127" t="s">
        <v>956</v>
      </c>
      <c r="F8" s="125" t="s">
        <v>961</v>
      </c>
      <c r="G8" s="129" t="s">
        <v>949</v>
      </c>
    </row>
    <row r="9" spans="1:8" s="187" customFormat="1" ht="83.4" customHeight="1" x14ac:dyDescent="0.3">
      <c r="A9" s="182">
        <v>7</v>
      </c>
      <c r="B9" s="183" t="s">
        <v>748</v>
      </c>
      <c r="C9" s="184" t="s">
        <v>21</v>
      </c>
      <c r="D9" s="182" t="s">
        <v>962</v>
      </c>
      <c r="E9" s="184" t="s">
        <v>956</v>
      </c>
      <c r="F9" s="182" t="s">
        <v>963</v>
      </c>
      <c r="G9" s="185" t="s">
        <v>964</v>
      </c>
      <c r="H9" s="186" t="s">
        <v>1034</v>
      </c>
    </row>
    <row r="10" spans="1:8" ht="83.4" customHeight="1" x14ac:dyDescent="0.3">
      <c r="A10" s="125">
        <v>8</v>
      </c>
      <c r="B10" s="71" t="s">
        <v>332</v>
      </c>
      <c r="C10" s="127" t="s">
        <v>23</v>
      </c>
      <c r="D10" s="125" t="s">
        <v>965</v>
      </c>
      <c r="E10" s="127" t="s">
        <v>966</v>
      </c>
      <c r="F10" s="125" t="s">
        <v>967</v>
      </c>
      <c r="G10" s="130" t="s">
        <v>964</v>
      </c>
    </row>
    <row r="11" spans="1:8" s="180" customFormat="1" ht="83.4" customHeight="1" x14ac:dyDescent="0.3">
      <c r="A11" s="175">
        <v>9</v>
      </c>
      <c r="B11" s="176" t="s">
        <v>344</v>
      </c>
      <c r="C11" s="177" t="s">
        <v>23</v>
      </c>
      <c r="D11" s="175" t="s">
        <v>968</v>
      </c>
      <c r="E11" s="177" t="s">
        <v>969</v>
      </c>
      <c r="F11" s="175" t="s">
        <v>970</v>
      </c>
      <c r="G11" s="178" t="s">
        <v>964</v>
      </c>
      <c r="H11" s="179" t="s">
        <v>1034</v>
      </c>
    </row>
    <row r="12" spans="1:8" s="180" customFormat="1" ht="83.4" customHeight="1" x14ac:dyDescent="0.3">
      <c r="A12" s="175">
        <v>10</v>
      </c>
      <c r="B12" s="176" t="s">
        <v>390</v>
      </c>
      <c r="C12" s="177" t="s">
        <v>23</v>
      </c>
      <c r="D12" s="175" t="s">
        <v>971</v>
      </c>
      <c r="E12" s="177" t="s">
        <v>972</v>
      </c>
      <c r="F12" s="175" t="s">
        <v>973</v>
      </c>
      <c r="G12" s="181" t="s">
        <v>949</v>
      </c>
      <c r="H12" s="179" t="s">
        <v>1034</v>
      </c>
    </row>
    <row r="13" spans="1:8" ht="83.4" customHeight="1" x14ac:dyDescent="0.3">
      <c r="A13" s="79">
        <v>11</v>
      </c>
      <c r="B13" s="79" t="s">
        <v>630</v>
      </c>
      <c r="C13" s="126" t="s">
        <v>843</v>
      </c>
      <c r="D13" s="79" t="s">
        <v>974</v>
      </c>
      <c r="E13" s="126" t="s">
        <v>951</v>
      </c>
      <c r="F13" s="79" t="s">
        <v>975</v>
      </c>
      <c r="G13" s="130" t="s">
        <v>964</v>
      </c>
    </row>
    <row r="14" spans="1:8" ht="83.4" customHeight="1" x14ac:dyDescent="0.3">
      <c r="A14" s="125">
        <v>12</v>
      </c>
      <c r="B14" s="125" t="s">
        <v>633</v>
      </c>
      <c r="C14" s="127" t="s">
        <v>843</v>
      </c>
      <c r="D14" s="125" t="s">
        <v>976</v>
      </c>
      <c r="E14" s="127" t="s">
        <v>951</v>
      </c>
      <c r="F14" s="125" t="s">
        <v>977</v>
      </c>
      <c r="G14" s="129" t="s">
        <v>949</v>
      </c>
    </row>
    <row r="15" spans="1:8" s="180" customFormat="1" ht="83.4" customHeight="1" x14ac:dyDescent="0.3">
      <c r="A15" s="175">
        <v>13</v>
      </c>
      <c r="B15" s="176" t="s">
        <v>639</v>
      </c>
      <c r="C15" s="177" t="s">
        <v>843</v>
      </c>
      <c r="D15" s="175" t="s">
        <v>978</v>
      </c>
      <c r="E15" s="177" t="s">
        <v>951</v>
      </c>
      <c r="F15" s="175" t="s">
        <v>979</v>
      </c>
      <c r="G15" s="181" t="s">
        <v>949</v>
      </c>
      <c r="H15" s="179" t="s">
        <v>1034</v>
      </c>
    </row>
    <row r="16" spans="1:8" ht="83.4" customHeight="1" x14ac:dyDescent="0.3">
      <c r="A16" s="125">
        <v>14</v>
      </c>
      <c r="B16" s="125" t="s">
        <v>412</v>
      </c>
      <c r="C16" s="127" t="s">
        <v>25</v>
      </c>
      <c r="D16" s="125" t="s">
        <v>980</v>
      </c>
      <c r="E16" s="127" t="s">
        <v>981</v>
      </c>
      <c r="F16" s="125" t="s">
        <v>982</v>
      </c>
      <c r="G16" s="130" t="s">
        <v>964</v>
      </c>
    </row>
    <row r="17" spans="1:8" s="180" customFormat="1" ht="83.4" customHeight="1" x14ac:dyDescent="0.3">
      <c r="A17" s="175">
        <v>15</v>
      </c>
      <c r="B17" s="176" t="s">
        <v>423</v>
      </c>
      <c r="C17" s="177" t="s">
        <v>25</v>
      </c>
      <c r="D17" s="175" t="s">
        <v>983</v>
      </c>
      <c r="E17" s="177" t="s">
        <v>984</v>
      </c>
      <c r="F17" s="175" t="s">
        <v>985</v>
      </c>
      <c r="G17" s="178" t="s">
        <v>964</v>
      </c>
      <c r="H17" s="179" t="s">
        <v>1034</v>
      </c>
    </row>
    <row r="18" spans="1:8" ht="83.4" customHeight="1" x14ac:dyDescent="0.3">
      <c r="A18" s="125">
        <v>16</v>
      </c>
      <c r="B18" s="125" t="s">
        <v>522</v>
      </c>
      <c r="C18" s="127" t="s">
        <v>25</v>
      </c>
      <c r="D18" s="125" t="s">
        <v>986</v>
      </c>
      <c r="E18" s="127" t="s">
        <v>956</v>
      </c>
      <c r="F18" s="125" t="s">
        <v>987</v>
      </c>
      <c r="G18" s="130" t="s">
        <v>964</v>
      </c>
    </row>
    <row r="19" spans="1:8" ht="83.4" customHeight="1" x14ac:dyDescent="0.3">
      <c r="A19" s="79">
        <v>17</v>
      </c>
      <c r="B19" s="79" t="s">
        <v>548</v>
      </c>
      <c r="C19" s="126" t="s">
        <v>25</v>
      </c>
      <c r="D19" s="79" t="s">
        <v>988</v>
      </c>
      <c r="E19" s="126" t="s">
        <v>956</v>
      </c>
      <c r="F19" s="79" t="s">
        <v>989</v>
      </c>
      <c r="G19" s="129" t="s">
        <v>949</v>
      </c>
    </row>
    <row r="20" spans="1:8" s="180" customFormat="1" ht="83.4" customHeight="1" x14ac:dyDescent="0.3">
      <c r="A20" s="175">
        <v>18</v>
      </c>
      <c r="B20" s="176" t="s">
        <v>569</v>
      </c>
      <c r="C20" s="177" t="s">
        <v>25</v>
      </c>
      <c r="D20" s="175" t="s">
        <v>990</v>
      </c>
      <c r="E20" s="177" t="s">
        <v>951</v>
      </c>
      <c r="F20" s="175" t="s">
        <v>991</v>
      </c>
      <c r="G20" s="178" t="s">
        <v>964</v>
      </c>
      <c r="H20" s="179" t="s">
        <v>1034</v>
      </c>
    </row>
    <row r="21" spans="1:8" s="180" customFormat="1" ht="83.4" customHeight="1" x14ac:dyDescent="0.3">
      <c r="A21" s="175">
        <v>19</v>
      </c>
      <c r="B21" s="176" t="s">
        <v>570</v>
      </c>
      <c r="C21" s="177" t="s">
        <v>25</v>
      </c>
      <c r="D21" s="175" t="s">
        <v>992</v>
      </c>
      <c r="E21" s="177" t="s">
        <v>993</v>
      </c>
      <c r="F21" s="175" t="s">
        <v>994</v>
      </c>
      <c r="G21" s="178" t="s">
        <v>964</v>
      </c>
      <c r="H21" s="179" t="s">
        <v>1034</v>
      </c>
    </row>
    <row r="22" spans="1:8" s="193" customFormat="1" ht="83.4" customHeight="1" x14ac:dyDescent="0.3">
      <c r="A22" s="188">
        <v>20</v>
      </c>
      <c r="B22" s="189" t="s">
        <v>593</v>
      </c>
      <c r="C22" s="190" t="s">
        <v>31</v>
      </c>
      <c r="D22" s="188" t="s">
        <v>995</v>
      </c>
      <c r="E22" s="190" t="s">
        <v>956</v>
      </c>
      <c r="F22" s="188" t="s">
        <v>996</v>
      </c>
      <c r="G22" s="191" t="s">
        <v>964</v>
      </c>
      <c r="H22" s="192" t="s">
        <v>1034</v>
      </c>
    </row>
    <row r="23" spans="1:8" s="193" customFormat="1" ht="83.4" customHeight="1" x14ac:dyDescent="0.3">
      <c r="A23" s="188">
        <v>21</v>
      </c>
      <c r="B23" s="189" t="s">
        <v>611</v>
      </c>
      <c r="C23" s="190" t="s">
        <v>31</v>
      </c>
      <c r="D23" s="188" t="s">
        <v>997</v>
      </c>
      <c r="E23" s="190" t="s">
        <v>956</v>
      </c>
      <c r="F23" s="188" t="s">
        <v>998</v>
      </c>
      <c r="G23" s="194" t="s">
        <v>949</v>
      </c>
      <c r="H23" s="192" t="s">
        <v>1034</v>
      </c>
    </row>
    <row r="24" spans="1:8" ht="83.4" customHeight="1" x14ac:dyDescent="0.3">
      <c r="A24" s="125">
        <v>22</v>
      </c>
      <c r="B24" s="125" t="s">
        <v>618</v>
      </c>
      <c r="C24" s="127" t="s">
        <v>31</v>
      </c>
      <c r="D24" s="125" t="s">
        <v>999</v>
      </c>
      <c r="E24" s="127" t="s">
        <v>951</v>
      </c>
      <c r="F24" s="125" t="s">
        <v>1000</v>
      </c>
      <c r="G24" s="129" t="s">
        <v>949</v>
      </c>
    </row>
    <row r="25" spans="1:8" ht="83.4" customHeight="1" x14ac:dyDescent="0.3">
      <c r="A25" s="79">
        <v>23</v>
      </c>
      <c r="B25" s="79" t="s">
        <v>915</v>
      </c>
      <c r="C25" s="126" t="s">
        <v>916</v>
      </c>
      <c r="D25" s="79" t="s">
        <v>1001</v>
      </c>
      <c r="E25" s="126" t="s">
        <v>947</v>
      </c>
      <c r="F25" s="79" t="s">
        <v>1002</v>
      </c>
      <c r="G25" s="131" t="s">
        <v>964</v>
      </c>
    </row>
    <row r="26" spans="1:8" ht="83.4" customHeight="1" x14ac:dyDescent="0.3">
      <c r="A26" s="125">
        <v>24</v>
      </c>
      <c r="B26" s="125" t="s">
        <v>918</v>
      </c>
      <c r="C26" s="127" t="s">
        <v>916</v>
      </c>
      <c r="D26" s="125" t="s">
        <v>1003</v>
      </c>
      <c r="E26" s="127" t="s">
        <v>947</v>
      </c>
      <c r="F26" s="125" t="s">
        <v>1004</v>
      </c>
      <c r="G26" s="131" t="s">
        <v>964</v>
      </c>
    </row>
    <row r="27" spans="1:8" ht="83.4" customHeight="1" x14ac:dyDescent="0.3">
      <c r="A27" s="79">
        <v>25</v>
      </c>
      <c r="B27" s="79" t="s">
        <v>920</v>
      </c>
      <c r="C27" s="126" t="s">
        <v>916</v>
      </c>
      <c r="D27" s="79" t="s">
        <v>1005</v>
      </c>
      <c r="E27" s="126" t="s">
        <v>947</v>
      </c>
      <c r="F27" s="79" t="s">
        <v>1006</v>
      </c>
      <c r="G27" s="131" t="s">
        <v>964</v>
      </c>
    </row>
    <row r="28" spans="1:8" ht="83.4" customHeight="1" x14ac:dyDescent="0.3">
      <c r="A28" s="125">
        <v>26</v>
      </c>
      <c r="B28" s="125" t="s">
        <v>922</v>
      </c>
      <c r="C28" s="127" t="s">
        <v>916</v>
      </c>
      <c r="D28" s="125" t="s">
        <v>1007</v>
      </c>
      <c r="E28" s="127" t="s">
        <v>947</v>
      </c>
      <c r="F28" s="125" t="s">
        <v>1008</v>
      </c>
      <c r="G28" s="132" t="s">
        <v>949</v>
      </c>
    </row>
    <row r="29" spans="1:8" ht="83.4" customHeight="1" x14ac:dyDescent="0.3">
      <c r="A29" s="79">
        <v>27</v>
      </c>
      <c r="B29" s="79" t="s">
        <v>924</v>
      </c>
      <c r="C29" s="126" t="s">
        <v>916</v>
      </c>
      <c r="D29" s="79" t="s">
        <v>1009</v>
      </c>
      <c r="E29" s="126" t="s">
        <v>1010</v>
      </c>
      <c r="F29" s="79" t="s">
        <v>1011</v>
      </c>
      <c r="G29" s="131" t="s">
        <v>964</v>
      </c>
    </row>
    <row r="30" spans="1:8" ht="83.4" customHeight="1" x14ac:dyDescent="0.3">
      <c r="A30" s="125">
        <v>28</v>
      </c>
      <c r="B30" s="125" t="s">
        <v>61</v>
      </c>
      <c r="C30" s="127" t="s">
        <v>916</v>
      </c>
      <c r="D30" s="125" t="s">
        <v>1012</v>
      </c>
      <c r="E30" s="127" t="s">
        <v>966</v>
      </c>
      <c r="F30" s="125" t="s">
        <v>1013</v>
      </c>
      <c r="G30" s="131" t="s">
        <v>964</v>
      </c>
    </row>
    <row r="31" spans="1:8" ht="83.4" customHeight="1" x14ac:dyDescent="0.3">
      <c r="A31" s="79">
        <v>29</v>
      </c>
      <c r="B31" s="79" t="s">
        <v>927</v>
      </c>
      <c r="C31" s="126" t="s">
        <v>916</v>
      </c>
      <c r="D31" s="79" t="s">
        <v>1014</v>
      </c>
      <c r="E31" s="126" t="s">
        <v>1015</v>
      </c>
      <c r="F31" s="79" t="s">
        <v>1016</v>
      </c>
      <c r="G31" s="132" t="s">
        <v>949</v>
      </c>
    </row>
    <row r="32" spans="1:8" ht="83.4" customHeight="1" x14ac:dyDescent="0.3">
      <c r="A32" s="125">
        <v>30</v>
      </c>
      <c r="B32" s="125" t="s">
        <v>929</v>
      </c>
      <c r="C32" s="127" t="s">
        <v>916</v>
      </c>
      <c r="D32" s="125" t="s">
        <v>1017</v>
      </c>
      <c r="E32" s="127" t="s">
        <v>947</v>
      </c>
      <c r="F32" s="125" t="s">
        <v>1018</v>
      </c>
      <c r="G32" s="131" t="s">
        <v>964</v>
      </c>
    </row>
    <row r="33" spans="1:7" ht="83.4" customHeight="1" x14ac:dyDescent="0.3">
      <c r="A33" s="79">
        <v>31</v>
      </c>
      <c r="B33" s="79" t="s">
        <v>931</v>
      </c>
      <c r="C33" s="126" t="s">
        <v>916</v>
      </c>
      <c r="D33" s="79" t="s">
        <v>1019</v>
      </c>
      <c r="E33" s="126" t="s">
        <v>1020</v>
      </c>
      <c r="F33" s="79" t="s">
        <v>1021</v>
      </c>
      <c r="G33" s="131" t="s">
        <v>964</v>
      </c>
    </row>
    <row r="34" spans="1:7" ht="83.4" customHeight="1" x14ac:dyDescent="0.3">
      <c r="A34" s="125">
        <v>32</v>
      </c>
      <c r="B34" s="125" t="s">
        <v>933</v>
      </c>
      <c r="C34" s="127" t="s">
        <v>916</v>
      </c>
      <c r="D34" s="125" t="s">
        <v>1022</v>
      </c>
      <c r="E34" s="127" t="s">
        <v>947</v>
      </c>
      <c r="F34" s="125" t="s">
        <v>1023</v>
      </c>
      <c r="G34" s="131" t="s">
        <v>964</v>
      </c>
    </row>
    <row r="35" spans="1:7" ht="83.4" customHeight="1" x14ac:dyDescent="0.3">
      <c r="A35" s="79">
        <v>33</v>
      </c>
      <c r="B35" s="79" t="s">
        <v>935</v>
      </c>
      <c r="C35" s="126" t="s">
        <v>916</v>
      </c>
      <c r="D35" s="79" t="s">
        <v>1024</v>
      </c>
      <c r="E35" s="126" t="s">
        <v>1010</v>
      </c>
      <c r="F35" s="79" t="s">
        <v>1025</v>
      </c>
      <c r="G35" s="131" t="s">
        <v>964</v>
      </c>
    </row>
    <row r="36" spans="1:7" ht="83.4" customHeight="1" x14ac:dyDescent="0.3">
      <c r="A36" s="134">
        <v>34</v>
      </c>
      <c r="B36" s="134" t="s">
        <v>937</v>
      </c>
      <c r="C36" s="135" t="s">
        <v>1026</v>
      </c>
      <c r="D36" s="134" t="s">
        <v>986</v>
      </c>
      <c r="E36" s="135" t="s">
        <v>956</v>
      </c>
      <c r="F36" s="134" t="s">
        <v>987</v>
      </c>
      <c r="G36" s="136" t="s">
        <v>964</v>
      </c>
    </row>
    <row r="37" spans="1:7" ht="83.4" customHeight="1" x14ac:dyDescent="0.3">
      <c r="A37" s="79">
        <v>35</v>
      </c>
      <c r="B37" s="79" t="s">
        <v>939</v>
      </c>
      <c r="C37" s="126" t="s">
        <v>916</v>
      </c>
      <c r="D37" s="79" t="s">
        <v>1027</v>
      </c>
      <c r="E37" s="126" t="s">
        <v>947</v>
      </c>
      <c r="F37" s="79" t="s">
        <v>1028</v>
      </c>
      <c r="G37" s="132" t="s">
        <v>949</v>
      </c>
    </row>
    <row r="38" spans="1:7" ht="83.4" customHeight="1" x14ac:dyDescent="0.3">
      <c r="A38" s="125">
        <v>36</v>
      </c>
      <c r="B38" s="125" t="s">
        <v>941</v>
      </c>
      <c r="C38" s="127" t="s">
        <v>916</v>
      </c>
      <c r="D38" s="125" t="s">
        <v>1029</v>
      </c>
      <c r="E38" s="127" t="s">
        <v>956</v>
      </c>
      <c r="F38" s="125" t="s">
        <v>1030</v>
      </c>
      <c r="G38" s="131" t="s">
        <v>964</v>
      </c>
    </row>
    <row r="39" spans="1:7" ht="83.4" customHeight="1" x14ac:dyDescent="0.3">
      <c r="A39" s="79">
        <v>37</v>
      </c>
      <c r="B39" s="79" t="s">
        <v>943</v>
      </c>
      <c r="C39" s="126" t="s">
        <v>916</v>
      </c>
      <c r="D39" s="79" t="s">
        <v>1031</v>
      </c>
      <c r="E39" s="126" t="s">
        <v>947</v>
      </c>
      <c r="F39" s="79" t="s">
        <v>1032</v>
      </c>
      <c r="G39" s="131" t="s">
        <v>964</v>
      </c>
    </row>
  </sheetData>
  <mergeCells count="1">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
  <sheetViews>
    <sheetView workbookViewId="0">
      <selection sqref="A1:F1"/>
    </sheetView>
  </sheetViews>
  <sheetFormatPr defaultRowHeight="14.4" x14ac:dyDescent="0.3"/>
  <cols>
    <col min="1" max="1" width="28" customWidth="1"/>
    <col min="2" max="2" width="32" customWidth="1"/>
    <col min="3" max="3" width="48" customWidth="1"/>
    <col min="4" max="4" width="28" customWidth="1"/>
    <col min="5" max="5" width="16" customWidth="1"/>
    <col min="6" max="6" width="20" customWidth="1"/>
  </cols>
  <sheetData>
    <row r="1" spans="1:6" ht="30" customHeight="1" x14ac:dyDescent="0.3">
      <c r="A1" s="174" t="s">
        <v>219</v>
      </c>
      <c r="B1" s="141"/>
      <c r="C1" s="141"/>
      <c r="D1" s="141"/>
      <c r="E1" s="141"/>
      <c r="F1" s="141"/>
    </row>
    <row r="2" spans="1:6" ht="18" customHeight="1" x14ac:dyDescent="0.3">
      <c r="A2" s="144" t="s">
        <v>220</v>
      </c>
      <c r="B2" s="141"/>
      <c r="C2" s="141"/>
      <c r="D2" s="141"/>
      <c r="E2" s="141"/>
      <c r="F2" s="141"/>
    </row>
    <row r="3" spans="1:6" ht="19.95" customHeight="1" x14ac:dyDescent="0.3">
      <c r="A3" s="145" t="s">
        <v>221</v>
      </c>
      <c r="B3" s="141"/>
      <c r="C3" s="141"/>
      <c r="D3" s="141"/>
      <c r="E3" s="141"/>
      <c r="F3" s="141"/>
    </row>
    <row r="4" spans="1:6" ht="28.05" customHeight="1" x14ac:dyDescent="0.3">
      <c r="A4" s="44" t="s">
        <v>222</v>
      </c>
      <c r="B4" s="44" t="s">
        <v>223</v>
      </c>
      <c r="C4" s="44" t="s">
        <v>224</v>
      </c>
      <c r="D4" s="44" t="s">
        <v>225</v>
      </c>
      <c r="E4" s="44" t="s">
        <v>226</v>
      </c>
      <c r="F4" s="44" t="s">
        <v>123</v>
      </c>
    </row>
    <row r="5" spans="1:6" ht="43.95" customHeight="1" x14ac:dyDescent="0.3">
      <c r="A5" s="51" t="s">
        <v>227</v>
      </c>
      <c r="B5" s="52" t="s">
        <v>228</v>
      </c>
      <c r="C5" s="52" t="s">
        <v>229</v>
      </c>
      <c r="D5" s="52" t="s">
        <v>230</v>
      </c>
      <c r="E5" s="63" t="s">
        <v>231</v>
      </c>
      <c r="F5" s="52"/>
    </row>
    <row r="6" spans="1:6" ht="43.95" customHeight="1" x14ac:dyDescent="0.3">
      <c r="A6" s="54" t="s">
        <v>232</v>
      </c>
      <c r="B6" s="55" t="s">
        <v>233</v>
      </c>
      <c r="C6" s="55" t="s">
        <v>234</v>
      </c>
      <c r="D6" s="55" t="s">
        <v>235</v>
      </c>
      <c r="E6" s="63" t="s">
        <v>236</v>
      </c>
      <c r="F6" s="55"/>
    </row>
    <row r="7" spans="1:6" ht="43.95" customHeight="1" x14ac:dyDescent="0.3">
      <c r="A7" s="30" t="s">
        <v>237</v>
      </c>
      <c r="B7" s="32" t="s">
        <v>238</v>
      </c>
      <c r="C7" s="32" t="s">
        <v>239</v>
      </c>
      <c r="D7" s="32" t="s">
        <v>235</v>
      </c>
      <c r="E7" s="63" t="s">
        <v>240</v>
      </c>
      <c r="F7" s="32"/>
    </row>
    <row r="8" spans="1:6" ht="43.95" customHeight="1" x14ac:dyDescent="0.3">
      <c r="A8" s="40" t="s">
        <v>241</v>
      </c>
      <c r="B8" s="42" t="s">
        <v>242</v>
      </c>
      <c r="C8" s="42" t="s">
        <v>243</v>
      </c>
      <c r="D8" s="42" t="s">
        <v>235</v>
      </c>
      <c r="E8" s="63" t="s">
        <v>244</v>
      </c>
      <c r="F8" s="42"/>
    </row>
    <row r="9" spans="1:6" ht="43.95" customHeight="1" x14ac:dyDescent="0.3">
      <c r="A9" s="57" t="s">
        <v>245</v>
      </c>
      <c r="B9" s="58" t="s">
        <v>246</v>
      </c>
      <c r="C9" s="58" t="s">
        <v>247</v>
      </c>
      <c r="D9" s="58" t="s">
        <v>248</v>
      </c>
      <c r="E9" s="63" t="s">
        <v>249</v>
      </c>
      <c r="F9" s="58"/>
    </row>
    <row r="10" spans="1:6" ht="43.95" customHeight="1" x14ac:dyDescent="0.3">
      <c r="A10" s="15" t="s">
        <v>250</v>
      </c>
      <c r="B10" s="17" t="s">
        <v>246</v>
      </c>
      <c r="C10" s="17" t="s">
        <v>251</v>
      </c>
      <c r="D10" s="17" t="s">
        <v>235</v>
      </c>
      <c r="E10" s="63" t="s">
        <v>252</v>
      </c>
      <c r="F10" s="17"/>
    </row>
    <row r="11" spans="1:6" ht="43.95" customHeight="1" x14ac:dyDescent="0.3">
      <c r="A11" s="64" t="s">
        <v>253</v>
      </c>
      <c r="B11" s="65" t="s">
        <v>254</v>
      </c>
      <c r="C11" s="65" t="s">
        <v>255</v>
      </c>
      <c r="D11" s="65" t="s">
        <v>235</v>
      </c>
      <c r="E11" s="63" t="s">
        <v>256</v>
      </c>
      <c r="F11" s="65"/>
    </row>
    <row r="12" spans="1:6" ht="36" customHeight="1" x14ac:dyDescent="0.3">
      <c r="A12" s="47"/>
      <c r="B12" s="47"/>
      <c r="C12" s="47"/>
      <c r="D12" s="47"/>
      <c r="E12" s="47"/>
      <c r="F12" s="47"/>
    </row>
    <row r="13" spans="1:6" ht="36" customHeight="1" x14ac:dyDescent="0.3">
      <c r="A13" s="47"/>
      <c r="B13" s="47"/>
      <c r="C13" s="47"/>
      <c r="D13" s="47"/>
      <c r="E13" s="47"/>
      <c r="F13" s="47"/>
    </row>
    <row r="14" spans="1:6" ht="36" customHeight="1" x14ac:dyDescent="0.3">
      <c r="A14" s="47"/>
      <c r="B14" s="47"/>
      <c r="C14" s="47"/>
      <c r="D14" s="47"/>
      <c r="E14" s="47"/>
      <c r="F14" s="47"/>
    </row>
    <row r="15" spans="1:6" ht="36" customHeight="1" x14ac:dyDescent="0.3">
      <c r="A15" s="47"/>
      <c r="B15" s="47"/>
      <c r="C15" s="47"/>
      <c r="D15" s="47"/>
      <c r="E15" s="47"/>
      <c r="F15" s="47"/>
    </row>
    <row r="16" spans="1:6" ht="36" customHeight="1" x14ac:dyDescent="0.3">
      <c r="A16" s="47"/>
      <c r="B16" s="47"/>
      <c r="C16" s="47"/>
      <c r="D16" s="47"/>
      <c r="E16" s="47"/>
      <c r="F16" s="47"/>
    </row>
    <row r="17" spans="1:6" ht="36" customHeight="1" x14ac:dyDescent="0.3">
      <c r="A17" s="47"/>
      <c r="B17" s="47"/>
      <c r="C17" s="47"/>
      <c r="D17" s="47"/>
      <c r="E17" s="47"/>
      <c r="F17" s="47"/>
    </row>
    <row r="18" spans="1:6" ht="36" customHeight="1" x14ac:dyDescent="0.3">
      <c r="A18" s="47"/>
      <c r="B18" s="47"/>
      <c r="C18" s="47"/>
      <c r="D18" s="47"/>
      <c r="E18" s="47"/>
      <c r="F18" s="47"/>
    </row>
    <row r="19" spans="1:6" ht="36" customHeight="1" x14ac:dyDescent="0.3">
      <c r="A19" s="47"/>
      <c r="B19" s="47"/>
      <c r="C19" s="47"/>
      <c r="D19" s="47"/>
      <c r="E19" s="47"/>
      <c r="F19" s="47"/>
    </row>
    <row r="20" spans="1:6" ht="36" customHeight="1" x14ac:dyDescent="0.3">
      <c r="A20" s="47"/>
      <c r="B20" s="47"/>
      <c r="C20" s="47"/>
      <c r="D20" s="47"/>
      <c r="E20" s="47"/>
      <c r="F20" s="47"/>
    </row>
    <row r="21" spans="1:6" ht="36" customHeight="1" x14ac:dyDescent="0.3">
      <c r="A21" s="47"/>
      <c r="B21" s="47"/>
      <c r="C21" s="47"/>
      <c r="D21" s="47"/>
      <c r="E21" s="47"/>
      <c r="F21" s="47"/>
    </row>
  </sheetData>
  <mergeCells count="3">
    <mergeCell ref="A3:F3"/>
    <mergeCell ref="A2:F2"/>
    <mergeCell ref="A1:F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2"/>
  <sheetViews>
    <sheetView workbookViewId="0">
      <selection sqref="A1:C1"/>
    </sheetView>
  </sheetViews>
  <sheetFormatPr defaultRowHeight="14.4" x14ac:dyDescent="0.3"/>
  <cols>
    <col min="1" max="1" width="32" customWidth="1"/>
    <col min="2" max="3" width="16" customWidth="1"/>
  </cols>
  <sheetData>
    <row r="1" spans="1:3" ht="30" customHeight="1" x14ac:dyDescent="0.3">
      <c r="A1" s="143" t="s">
        <v>257</v>
      </c>
      <c r="B1" s="141"/>
      <c r="C1" s="141"/>
    </row>
    <row r="2" spans="1:3" ht="18" customHeight="1" x14ac:dyDescent="0.3">
      <c r="A2" s="144" t="s">
        <v>258</v>
      </c>
      <c r="B2" s="141"/>
      <c r="C2" s="141"/>
    </row>
    <row r="3" spans="1:3" ht="19.95" customHeight="1" x14ac:dyDescent="0.3">
      <c r="A3" s="142" t="s">
        <v>259</v>
      </c>
      <c r="B3" s="141"/>
      <c r="C3" s="141"/>
    </row>
    <row r="4" spans="1:3" ht="22.05" customHeight="1" x14ac:dyDescent="0.3">
      <c r="A4" s="1" t="s">
        <v>143</v>
      </c>
      <c r="B4" s="1" t="s">
        <v>260</v>
      </c>
      <c r="C4" s="1" t="s">
        <v>261</v>
      </c>
    </row>
    <row r="5" spans="1:3" ht="22.05" customHeight="1" x14ac:dyDescent="0.3">
      <c r="A5" s="2" t="s">
        <v>124</v>
      </c>
      <c r="B5" s="12">
        <v>6</v>
      </c>
      <c r="C5" s="33" t="s">
        <v>184</v>
      </c>
    </row>
    <row r="6" spans="1:3" ht="22.05" customHeight="1" x14ac:dyDescent="0.3">
      <c r="A6" s="5" t="s">
        <v>30</v>
      </c>
      <c r="B6" s="33" t="s">
        <v>184</v>
      </c>
      <c r="C6" s="33" t="s">
        <v>184</v>
      </c>
    </row>
    <row r="7" spans="1:3" ht="22.05" customHeight="1" x14ac:dyDescent="0.3">
      <c r="A7" s="2" t="s">
        <v>23</v>
      </c>
      <c r="B7" s="12">
        <v>127</v>
      </c>
      <c r="C7" s="33" t="s">
        <v>184</v>
      </c>
    </row>
    <row r="8" spans="1:3" ht="22.05" customHeight="1" x14ac:dyDescent="0.3">
      <c r="A8" s="5" t="s">
        <v>25</v>
      </c>
      <c r="B8" s="33" t="s">
        <v>184</v>
      </c>
      <c r="C8" s="33" t="s">
        <v>184</v>
      </c>
    </row>
    <row r="9" spans="1:3" ht="22.05" customHeight="1" x14ac:dyDescent="0.3">
      <c r="A9" s="2" t="s">
        <v>28</v>
      </c>
      <c r="B9" s="33" t="s">
        <v>184</v>
      </c>
      <c r="C9" s="33" t="s">
        <v>184</v>
      </c>
    </row>
    <row r="10" spans="1:3" ht="22.05" customHeight="1" x14ac:dyDescent="0.3">
      <c r="A10" s="5" t="s">
        <v>31</v>
      </c>
      <c r="B10" s="33" t="s">
        <v>184</v>
      </c>
      <c r="C10" s="33" t="s">
        <v>184</v>
      </c>
    </row>
    <row r="11" spans="1:3" ht="22.05" customHeight="1" x14ac:dyDescent="0.3">
      <c r="A11" s="2" t="s">
        <v>33</v>
      </c>
      <c r="B11" s="33" t="s">
        <v>184</v>
      </c>
      <c r="C11" s="33" t="s">
        <v>184</v>
      </c>
    </row>
    <row r="12" spans="1:3" ht="24" customHeight="1" x14ac:dyDescent="0.3">
      <c r="A12" s="66" t="s">
        <v>262</v>
      </c>
      <c r="B12" s="67" t="s">
        <v>184</v>
      </c>
      <c r="C12" s="67" t="s">
        <v>184</v>
      </c>
    </row>
    <row r="14" spans="1:3" ht="19.95" customHeight="1" x14ac:dyDescent="0.3">
      <c r="A14" s="145" t="s">
        <v>263</v>
      </c>
      <c r="B14" s="141"/>
      <c r="C14" s="141"/>
    </row>
    <row r="15" spans="1:3" ht="22.05" customHeight="1" x14ac:dyDescent="0.3">
      <c r="A15" s="50" t="s">
        <v>191</v>
      </c>
      <c r="B15" s="50" t="s">
        <v>264</v>
      </c>
      <c r="C15" s="50" t="s">
        <v>265</v>
      </c>
    </row>
    <row r="16" spans="1:3" ht="22.05" customHeight="1" x14ac:dyDescent="0.3">
      <c r="A16" s="51" t="s">
        <v>266</v>
      </c>
      <c r="B16" s="29" t="s">
        <v>184</v>
      </c>
      <c r="C16" s="53" t="s">
        <v>185</v>
      </c>
    </row>
    <row r="17" spans="1:3" ht="22.05" customHeight="1" x14ac:dyDescent="0.3">
      <c r="A17" s="54" t="s">
        <v>267</v>
      </c>
      <c r="B17" s="29" t="s">
        <v>184</v>
      </c>
      <c r="C17" s="56" t="s">
        <v>184</v>
      </c>
    </row>
    <row r="18" spans="1:3" ht="22.05" customHeight="1" x14ac:dyDescent="0.3">
      <c r="A18" s="30" t="s">
        <v>268</v>
      </c>
      <c r="B18" s="29" t="s">
        <v>184</v>
      </c>
      <c r="C18" s="33" t="s">
        <v>184</v>
      </c>
    </row>
    <row r="19" spans="1:3" ht="22.05" customHeight="1" x14ac:dyDescent="0.3">
      <c r="A19" s="40" t="s">
        <v>269</v>
      </c>
      <c r="B19" s="29" t="s">
        <v>184</v>
      </c>
      <c r="C19" s="43" t="s">
        <v>184</v>
      </c>
    </row>
    <row r="20" spans="1:3" ht="22.05" customHeight="1" x14ac:dyDescent="0.3">
      <c r="A20" s="57" t="s">
        <v>270</v>
      </c>
      <c r="B20" s="29" t="s">
        <v>184</v>
      </c>
      <c r="C20" s="59" t="s">
        <v>184</v>
      </c>
    </row>
    <row r="21" spans="1:3" ht="22.05" customHeight="1" x14ac:dyDescent="0.3">
      <c r="A21" s="15" t="s">
        <v>271</v>
      </c>
      <c r="B21" s="29" t="s">
        <v>184</v>
      </c>
      <c r="C21" s="18" t="s">
        <v>184</v>
      </c>
    </row>
    <row r="22" spans="1:3" ht="22.05" customHeight="1" x14ac:dyDescent="0.3">
      <c r="A22" s="68" t="s">
        <v>272</v>
      </c>
      <c r="B22" s="29" t="s">
        <v>206</v>
      </c>
      <c r="C22" s="69" t="s">
        <v>184</v>
      </c>
    </row>
  </sheetData>
  <mergeCells count="4">
    <mergeCell ref="A1:C1"/>
    <mergeCell ref="A14:C14"/>
    <mergeCell ref="A3:C3"/>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Taxonomy</vt:lpstr>
      <vt:lpstr>Databases</vt:lpstr>
      <vt:lpstr>Search Query Log</vt:lpstr>
      <vt:lpstr>PRISMA Flow</vt:lpstr>
      <vt:lpstr>ACM</vt:lpstr>
      <vt:lpstr>IEEE Xplore</vt:lpstr>
      <vt:lpstr>IEEE</vt:lpstr>
      <vt:lpstr>Science Direct</vt:lpstr>
      <vt:lpstr>Scopus</vt:lpstr>
      <vt:lpstr>Springer</vt:lpstr>
      <vt:lpstr>Web of Science</vt:lpstr>
      <vt:lpstr>Consolidated Pool</vt:lpstr>
      <vt:lpstr>Abstract Screening</vt:lpstr>
      <vt:lpstr>Final Selection</vt:lpstr>
      <vt:lpstr>Synthesis Notes</vt:lpstr>
      <vt:lpstr>Summary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Vanessa Atta-Fynn</cp:lastModifiedBy>
  <dcterms:created xsi:type="dcterms:W3CDTF">2026-03-24T18:50:16Z</dcterms:created>
  <dcterms:modified xsi:type="dcterms:W3CDTF">2026-07-01T15:59:04Z</dcterms:modified>
</cp:coreProperties>
</file>