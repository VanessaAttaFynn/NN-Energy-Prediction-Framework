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UGMSC\FYP\NN Energy Prediction Framework\docs\notes\SLR PROCESS\"/>
    </mc:Choice>
  </mc:AlternateContent>
  <xr:revisionPtr revIDLastSave="0" documentId="13_ncr:1_{FED9C732-8F9A-4930-8198-406CB1D96473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README" sheetId="1" r:id="rId1"/>
    <sheet name="Taxonomy" sheetId="2" state="hidden" r:id="rId2"/>
    <sheet name="PRISMA Flow" sheetId="6" state="hidden" r:id="rId3"/>
    <sheet name="IEEE Xplore" sheetId="8" r:id="rId4"/>
    <sheet name="IEEE" sheetId="11" r:id="rId5"/>
    <sheet name="Synthesis Notes" sheetId="16" state="hidden" r:id="rId6"/>
    <sheet name="Summary Statistics" sheetId="1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8" l="1"/>
  <c r="C129" i="8"/>
  <c r="C103" i="8"/>
  <c r="C99" i="8"/>
  <c r="C6" i="11"/>
  <c r="C33" i="11"/>
  <c r="C37" i="11"/>
  <c r="C42" i="11"/>
  <c r="C58" i="11"/>
  <c r="C60" i="11" l="1"/>
  <c r="C59" i="11"/>
</calcChain>
</file>

<file path=xl/sharedStrings.xml><?xml version="1.0" encoding="utf-8"?>
<sst xmlns="http://schemas.openxmlformats.org/spreadsheetml/2006/main" count="712" uniqueCount="384">
  <si>
    <t>SLR Master Workbook — Neural Network Training Energy Consumption Prediction</t>
  </si>
  <si>
    <t>Sheet Guide</t>
  </si>
  <si>
    <t>Sheet Name</t>
  </si>
  <si>
    <t>Purpose</t>
  </si>
  <si>
    <t>Status</t>
  </si>
  <si>
    <t>README</t>
  </si>
  <si>
    <t>This sheet. Overview of the workbook structure and how to use it.</t>
  </si>
  <si>
    <t>DONE</t>
  </si>
  <si>
    <t>Taxonomy</t>
  </si>
  <si>
    <t>Glossary of key terms, acronyms, and concepts used across the review.</t>
  </si>
  <si>
    <t>READY TO FILL</t>
  </si>
  <si>
    <t>Databases</t>
  </si>
  <si>
    <t>List of all 7 publishers/databases with search order, syntax notes, and access info.</t>
  </si>
  <si>
    <t>Query Builder</t>
  </si>
  <si>
    <t>Structured query construction per database. Build and validate queries here before running.</t>
  </si>
  <si>
    <t>Search Query Log</t>
  </si>
  <si>
    <t>Every query executed: database, query string, date run, and raw result count.</t>
  </si>
  <si>
    <t>PARTIAL — redo with new DBs</t>
  </si>
  <si>
    <t>PRISMA Flow</t>
  </si>
  <si>
    <t>Running PRISMA totals updated at each filtering stage. Source of truth for Section 3.</t>
  </si>
  <si>
    <t>PARTIAL — update after new searches</t>
  </si>
  <si>
    <t>ACM</t>
  </si>
  <si>
    <t>Raw title screening results from ACM Digital Library (Priority 1).</t>
  </si>
  <si>
    <t>IEEE Xplore</t>
  </si>
  <si>
    <t>Raw title screening results from IEEE Xplore (Priority 3).</t>
  </si>
  <si>
    <t>Science Direct</t>
  </si>
  <si>
    <t>Raw title screening results from Science Direct (Priority 4).</t>
  </si>
  <si>
    <t>EMPTY — to be searched</t>
  </si>
  <si>
    <t>Scopus</t>
  </si>
  <si>
    <t>Raw title screening results from Scopus (Priority 5).</t>
  </si>
  <si>
    <t>Elsevier</t>
  </si>
  <si>
    <t>Springer</t>
  </si>
  <si>
    <t>Raw title screening results from Springer (Priority 6).</t>
  </si>
  <si>
    <t>Web of Science</t>
  </si>
  <si>
    <t>Raw title screening results from Web of Science (Priority 7).</t>
  </si>
  <si>
    <t>Consolidated Pool</t>
  </si>
  <si>
    <t>All relevant papers merged across ALL databases. Duplicates flagged. Full visibility.</t>
  </si>
  <si>
    <t>EMPTY — rebuild after new searches</t>
  </si>
  <si>
    <t>Final Selection</t>
  </si>
  <si>
    <t>Deduplicated, screened, final corpus ready for synthesis. ~20-25 papers.</t>
  </si>
  <si>
    <t>EMPTY — rebuild after screening</t>
  </si>
  <si>
    <t>Synthesis Notes</t>
  </si>
  <si>
    <t>Running themes, patterns, contradictions, and key insights as papers are read.</t>
  </si>
  <si>
    <t>Summary Statistics</t>
  </si>
  <si>
    <t>Visual summary of paper counts at each PRISMA stage across all databases.</t>
  </si>
  <si>
    <t>Taxonomy — Key Terms, Acronyms and Concepts</t>
  </si>
  <si>
    <t>Term / Acronym</t>
  </si>
  <si>
    <t>Full Form</t>
  </si>
  <si>
    <t>Definition</t>
  </si>
  <si>
    <t>First Seen In</t>
  </si>
  <si>
    <t>SLR</t>
  </si>
  <si>
    <t>Systematic Literature Review</t>
  </si>
  <si>
    <t>A structured, reproducible review of literature following a defined protocol (Kitchenham &amp; Charters, 2007).</t>
  </si>
  <si>
    <t>Section 2</t>
  </si>
  <si>
    <t>PRISMA</t>
  </si>
  <si>
    <t>Preferred Reporting Items for Systematic Reviews and Meta-Analyses</t>
  </si>
  <si>
    <t>A reporting standard ensuring the search and selection process is transparent and reproducible.</t>
  </si>
  <si>
    <t>A priori</t>
  </si>
  <si>
    <t>Before the fact / Before training begins</t>
  </si>
  <si>
    <t>Prediction made using only pre-training features — no computation required. Central concept of this review.</t>
  </si>
  <si>
    <t>Research Question</t>
  </si>
  <si>
    <t>Green AI</t>
  </si>
  <si>
    <t>Green Artificial Intelligence</t>
  </si>
  <si>
    <t>AI research that prioritises energy efficiency alongside accuracy, as opposed to Red AI which prioritises accuracy at any compute cost (Schwartz et al., 2020).</t>
  </si>
  <si>
    <t>Background</t>
  </si>
  <si>
    <t>Red AI</t>
  </si>
  <si>
    <t>Resource-intensive AI</t>
  </si>
  <si>
    <t>AI development paradigm that maximises accuracy regardless of computational cost.</t>
  </si>
  <si>
    <t>FLOPs</t>
  </si>
  <si>
    <t>Floating Point Operations</t>
  </si>
  <si>
    <t>A measure of computational complexity. Used as a proxy for energy consumption in analytical estimation models.</t>
  </si>
  <si>
    <t>Literature Review</t>
  </si>
  <si>
    <t>TDP</t>
  </si>
  <si>
    <t>Thermal Design Power</t>
  </si>
  <si>
    <t>Maximum heat a CPU/GPU cooling system is designed to dissipate. Used as a proxy for power consumption.</t>
  </si>
  <si>
    <t>RAPL</t>
  </si>
  <si>
    <t>Running Average Power Limit</t>
  </si>
  <si>
    <t>Intel on-chip power sensor providing CPU and DRAM energy readings. Used by tools like CarbonTracker and CodeCarbon.</t>
  </si>
  <si>
    <t>NVML</t>
  </si>
  <si>
    <t>NVIDIA Management Library</t>
  </si>
  <si>
    <t>NVIDIA on-chip sensor providing GPU power readings.</t>
  </si>
  <si>
    <t>NAS</t>
  </si>
  <si>
    <t>Neural Architecture Search</t>
  </si>
  <si>
    <t>Automated process of finding optimal neural network architectures. Extremely energy-intensive.</t>
  </si>
  <si>
    <t>MLP</t>
  </si>
  <si>
    <t>Multi-Layer Perceptron</t>
  </si>
  <si>
    <t>Fully connected neural network. One of the two architecture families in the BUTTER-E dataset.</t>
  </si>
  <si>
    <t>Methodology</t>
  </si>
  <si>
    <t>CNN</t>
  </si>
  <si>
    <t>Convolutional Neural Network</t>
  </si>
  <si>
    <t>Neural network using convolutional layers. One of the two architecture families in the EC-NAS dataset.</t>
  </si>
  <si>
    <t>BUTTER-E</t>
  </si>
  <si>
    <t>Benchmarking Unregularized Training of Energy-Efficient neural networks</t>
  </si>
  <si>
    <t>Dataset of 63,527 MLP training runs with hardware watt-meter energy measurements (Tripp et al., 2024).</t>
  </si>
  <si>
    <t>EC-NAS</t>
  </si>
  <si>
    <t>Energy Consumption Neural Architecture Search benchmark</t>
  </si>
  <si>
    <t>Dataset of ~423,000 CNN architectures with energy measurements based on NAS-Bench-101 (Bakhtiarifard et al., 2024).</t>
  </si>
  <si>
    <t>SHAP</t>
  </si>
  <si>
    <t>SHapley Additive exPlanations</t>
  </si>
  <si>
    <t>Method for explaining ML model predictions by attributing importance to each feature.</t>
  </si>
  <si>
    <t>MAE</t>
  </si>
  <si>
    <t>Mean Absolute Error</t>
  </si>
  <si>
    <t>Average absolute difference between predicted and actual values. Primary evaluation metric.</t>
  </si>
  <si>
    <t>RMSE</t>
  </si>
  <si>
    <t>Root Mean Squared Error</t>
  </si>
  <si>
    <t>Square root of average squared differences. Penalises large errors more than MAE.</t>
  </si>
  <si>
    <t>MAPE</t>
  </si>
  <si>
    <t>Mean Absolute Percentage Error</t>
  </si>
  <si>
    <t>MAE expressed as a percentage of actual values. Useful for scale-independent comparison.</t>
  </si>
  <si>
    <t>EPM</t>
  </si>
  <si>
    <t>External Power Meter</t>
  </si>
  <si>
    <t>Hardware device measuring actual power draw at the outlet. Ground truth for energy measurement.</t>
  </si>
  <si>
    <t>GNN</t>
  </si>
  <si>
    <t>Graph Neural Network</t>
  </si>
  <si>
    <t>Neural network operating on graph-structured data. Used by NeurstrucEnergy for topology-aware energy prediction.</t>
  </si>
  <si>
    <t>Notes</t>
  </si>
  <si>
    <t>ACM Digital Library</t>
  </si>
  <si>
    <t>#</t>
  </si>
  <si>
    <t>Database</t>
  </si>
  <si>
    <t>Title</t>
  </si>
  <si>
    <t>PRISMA Flow — Running Paper Count at Each Selection Stage</t>
  </si>
  <si>
    <t>Update counts as each stage is completed. This is the source of truth for Section 3 of the systematic review document.</t>
  </si>
  <si>
    <t>Stage 1 — Identification (Initial Search)</t>
  </si>
  <si>
    <t>Previous Count</t>
  </si>
  <si>
    <t>New Count (after redo)</t>
  </si>
  <si>
    <t>TBD</t>
  </si>
  <si>
    <t>—</t>
  </si>
  <si>
    <t>Google Scholar (retired)</t>
  </si>
  <si>
    <t>816</t>
  </si>
  <si>
    <t>Not used in new protocol</t>
  </si>
  <si>
    <t>Retired — Google Scholar not a publisher database</t>
  </si>
  <si>
    <t>Stages 2–7 — Filtering and Selection</t>
  </si>
  <si>
    <t>Stage</t>
  </si>
  <si>
    <t>Papers Remaining</t>
  </si>
  <si>
    <t>Reason for Exclusion</t>
  </si>
  <si>
    <t>Date Completed</t>
  </si>
  <si>
    <t>Stage 2 — After Date Filter (2018–2025)</t>
  </si>
  <si>
    <t>Remove papers published before 2018</t>
  </si>
  <si>
    <t>Stage 3 — After Exclusion Keywords</t>
  </si>
  <si>
    <t>Remove off-topic results by title keyword</t>
  </si>
  <si>
    <t>Stage 4 — After Deduplication</t>
  </si>
  <si>
    <t>Remove papers appearing in 2+ databases</t>
  </si>
  <si>
    <t>Stage 5 — After Title Screening</t>
  </si>
  <si>
    <t>Manual title review — remove irrelevant</t>
  </si>
  <si>
    <t>Stage 6 — After Abstract Screening</t>
  </si>
  <si>
    <t>Read abstracts — apply inclusion/exclusion criteria</t>
  </si>
  <si>
    <t>Stage 7 — Final Selection</t>
  </si>
  <si>
    <t>~20–25</t>
  </si>
  <si>
    <t>Full text review — papers included in synthesis</t>
  </si>
  <si>
    <t>IEEE Xplore — Title Screening (ieeexplore.ieee.org) | Priority 3</t>
  </si>
  <si>
    <t>Synthesis Notes — Themes, Patterns and Key Insights</t>
  </si>
  <si>
    <t>Add notes as you read papers. These become the raw material for Section 4 (taxonomy and synthesis).</t>
  </si>
  <si>
    <t>Emerging Themes (add rows as needed)</t>
  </si>
  <si>
    <t>Theme</t>
  </si>
  <si>
    <t>Papers Supporting This</t>
  </si>
  <si>
    <t>Key Insight / Deduction</t>
  </si>
  <si>
    <t>Contradictions?</t>
  </si>
  <si>
    <t>Relevant to Gap?</t>
  </si>
  <si>
    <t>Measurement tools require training to run</t>
  </si>
  <si>
    <t>CarbonTracker, CodeCarbon, Zeus, Fischer (2025)</t>
  </si>
  <si>
    <t>All current tools measure during or after training. None can predict before. This IS the gap.</t>
  </si>
  <si>
    <t>No contradictions — universal limitation</t>
  </si>
  <si>
    <t>YES — core gap</t>
  </si>
  <si>
    <t>Software sensors underestimate by 10-40%</t>
  </si>
  <si>
    <t>Fischer (2025), Anthony et al. (2020)</t>
  </si>
  <si>
    <t>Software-based tools miss PSU losses, cooling, storage. Hardware watt-meters are ground truth.</t>
  </si>
  <si>
    <t>No</t>
  </si>
  <si>
    <t>YES — validates BUTTER-E advantage</t>
  </si>
  <si>
    <t>FLOP-based methods are crude proxies</t>
  </si>
  <si>
    <t>Garcia-Martin (2019), Strubell (2019), Desislavov (2023)</t>
  </si>
  <si>
    <t>FLOPs miss memory effects, I/O, utilisation variation. ML-based prediction is superior.</t>
  </si>
  <si>
    <t>YES — motivates our approach</t>
  </si>
  <si>
    <t>Architecture-specific models fail to generalise</t>
  </si>
  <si>
    <t>Cai/NeuralPower (2017), NeurstrucEnergy (2022)</t>
  </si>
  <si>
    <t>NeuralPower works for CNNs only. NeurstrucEnergy for IoT only. Cross-architecture gap is real.</t>
  </si>
  <si>
    <t>YES — our transferability contribution</t>
  </si>
  <si>
    <t>Energy per epoch is approximately constant</t>
  </si>
  <si>
    <t>Reguero et al. (2024)</t>
  </si>
  <si>
    <t>Static architectural features dominate energy. Validates our feature-based prediction approach.</t>
  </si>
  <si>
    <t>Carbontracker assumes same — breaks with LR schedules</t>
  </si>
  <si>
    <t>YES — validates methodology</t>
  </si>
  <si>
    <t>14.3% is the benchmark to beat</t>
  </si>
  <si>
    <t>Best runtime predictor achieves 14.3% error with live data. Matching this from pre-training features = strong result.</t>
  </si>
  <si>
    <t>YES — sets evaluation target</t>
  </si>
  <si>
    <t>Large-scale benchmark data enables new approaches</t>
  </si>
  <si>
    <t>Tripp/BUTTER-E (2024), Bakhtiarifard/EC-NAS (2024)</t>
  </si>
  <si>
    <t>486K+ real measurements only became available 2024. Nobody could have done our study in 2022.</t>
  </si>
  <si>
    <t>YES — novelty justification</t>
  </si>
  <si>
    <t>Summary Statistics — Paper Counts Across All Stages</t>
  </si>
  <si>
    <t>Update as searches are completed. This feeds the PRISMA diagram.</t>
  </si>
  <si>
    <t>Papers by Database (Initial Search)</t>
  </si>
  <si>
    <t>Initial Results</t>
  </si>
  <si>
    <t>After Title Screen</t>
  </si>
  <si>
    <t>TOTAL</t>
  </si>
  <si>
    <t>PRISMA Funnel Summary</t>
  </si>
  <si>
    <t>Count</t>
  </si>
  <si>
    <t>Removed</t>
  </si>
  <si>
    <t>Initial search pool (all DBs)</t>
  </si>
  <si>
    <t>After date filter (2018–2025)</t>
  </si>
  <si>
    <t>After exclusion keywords</t>
  </si>
  <si>
    <t>After deduplication</t>
  </si>
  <si>
    <t>After title screening</t>
  </si>
  <si>
    <t>After abstract screening</t>
  </si>
  <si>
    <t>Final selection</t>
  </si>
  <si>
    <t>allintitle: "deep learning" AND "energy consumption"</t>
  </si>
  <si>
    <t xml:space="preserve">	Energy Consumption Forecasting in Home Energy Management System using Deep Learning Techniques</t>
  </si>
  <si>
    <t xml:space="preserve">	Renewable Energy Consumption on Solar and Wind Energy Prediction Using Deep Learning and Generative AI</t>
  </si>
  <si>
    <t xml:space="preserve">	Energy Consumption Prediction System Based on Deep Learning with Edge Computing</t>
  </si>
  <si>
    <t>Predicting Energy Consumption Using LSTM and CNN Deep Learning Algorithm</t>
  </si>
  <si>
    <t>Prediction of Electric Energy Consumption for Demand Response using Deep Learning</t>
  </si>
  <si>
    <t>Comparisons of Deep Learning Models to predict Energy Consumption of an Educational Building</t>
  </si>
  <si>
    <t>Ensemble Deep Learning Applied to Predict Building Energy Consumption</t>
  </si>
  <si>
    <t>Forecasting Energy Consumption Using Deep Learning in Smart Cities</t>
  </si>
  <si>
    <t>Time-Efficient Deep Learning-Based Energy Consumption Prediction for Smart Factory</t>
  </si>
  <si>
    <t>Deep Learning-Based Probabilistic Forecasting of Household Energy Consumption in Smart Grids</t>
  </si>
  <si>
    <t>AI Approach for Minimizing The Energy Consumption of Servers Using Deep-Q-Learning</t>
  </si>
  <si>
    <t xml:space="preserve">	UAV Energy Consumption Prediction: A Comparative Study from Four Different Deep Learning Models</t>
  </si>
  <si>
    <t>Energy Consumption Optimization for 5G Base Stations Based on Deep Reinforcement Learning</t>
  </si>
  <si>
    <t>Predictive Modeling of Energy Consumption for Building Automation Systems Using Deep Learning</t>
  </si>
  <si>
    <t xml:space="preserve">	Deep Learning and Text-Embedding to Integrate Energy Consumption into Industrial Machine Production Planning</t>
  </si>
  <si>
    <t>Harnessing Deep Learning for Enhanced Energy Consumption Forecasting in smart Home: A comparative Study of MLP and RNN Architectures</t>
  </si>
  <si>
    <t>Federated Deep Learning Multiple Households Energy Consumption Forecasting Considering Data Privacy-Preserving</t>
  </si>
  <si>
    <t>A Deep Reinforcement Learning based policy gradient for Energy Consumption in Edge Computing</t>
  </si>
  <si>
    <t>Route Planning Based on Deep Reinforcement Learning to Minimize Energy Consumption in UAV Photogrammetry</t>
  </si>
  <si>
    <t>Deep Learning for Forecasting the Energy Consumption in Public Buildings</t>
  </si>
  <si>
    <t xml:space="preserve">	Down-clocking Scheme using Deep Learning for Minimizing Energy Consumption in Wireless Networks</t>
  </si>
  <si>
    <t>Predicting energy consumption through deep learning-powered time series analysis</t>
  </si>
  <si>
    <t>Balancing Cost and Self-Consumption in Home Energy Management: A Deep Reinforcement Learning and Model-Based Perspective with EV and Storage Systems</t>
  </si>
  <si>
    <t>EcoPredict: A Unified Deep Learning Framework for Forecasting Energy Consumption in Cloud Classrooms</t>
  </si>
  <si>
    <t xml:space="preserve">	Fuel Consumption Prediction from Car Images Using CNN-Based Deep and Transfer Learning for Energy Efficiency and Sustainability</t>
  </si>
  <si>
    <t>Multi-Architecture Deep Learning Approach for Enhanced Energy Consumption Forecasting</t>
  </si>
  <si>
    <t>Mitigation Strategies for Greenhouse Gas Emissions and Energy Consumption Based on Deep Learning</t>
  </si>
  <si>
    <t>Energy Consumption Forecasting using LSTM-based Deep Learning Models</t>
  </si>
  <si>
    <t>Design of Energy Consumption Prediction and Optimization Algorithm for Central Air Conditioning Systems Integrating Deep Learning</t>
  </si>
  <si>
    <t>Integration of Deep Learning and Blockchain for Energy Consumption Prediction and Management in Electric Vehicles</t>
  </si>
  <si>
    <t xml:space="preserve">	Research on Efficient Energy Consumption Algorithm for Ocean Oil and Gas IoT Based on Deep Learning</t>
  </si>
  <si>
    <t>A Deep Hybrid Learning Approach for Estimating Energy Consumption in NB-IoT Devices</t>
  </si>
  <si>
    <t>A Deep Learning Framework for Energy Consumption Forecasting with n-Gram, Attention, and ARMA</t>
  </si>
  <si>
    <t>Research on U.S. Renewable Energy Consumption Prediction Based on Multi-Branch Deep Learning Architecture</t>
  </si>
  <si>
    <t xml:space="preserve">	Research on Building Energy Consumption Prediction and Optimal Control System Based on Deep Learning Algorithm</t>
  </si>
  <si>
    <t>Time series Univariate Energy Forecasting Consumption in Smart Buildings using Deep Learning</t>
  </si>
  <si>
    <t>Research on Control Strategy and Energy Consumption Optimization of High Efficiency Motor Based on Deep Learning</t>
  </si>
  <si>
    <t>Energy Consumption Forecasting using a Deep Learning Energy-Level Based Prediction</t>
  </si>
  <si>
    <t>An Optimised Energy Efficient Task Scheduling Algorithm based on Deep Learning Technique for Energy Consumption</t>
  </si>
  <si>
    <t>Assessing Machine Learning and Deep Learning-based approaches for SAG mill Energy consumption</t>
  </si>
  <si>
    <t xml:space="preserve">	UAV Trajectory Planning in Wireless Sensor Networks for Energy Consumption Minimization by Deep Reinforcement Learning</t>
  </si>
  <si>
    <t>Evolutionary Deep Learning-Based Energy Consumption Prediction for Buildings</t>
  </si>
  <si>
    <t>Forecasting Building Energy Consumption with Deep Learning: A Sequence to Sequence Approach</t>
  </si>
  <si>
    <t>Dynamic User Preference Parameters Selection and Energy Consumption Optimization for Smart Homes Using Deep Extreme Learning Machine and Bat Algorithm</t>
  </si>
  <si>
    <t>Energy Consumption Modeling and Optimization of UAV-Assisted MEC Networks Using Deep Reinforcement Learnin</t>
  </si>
  <si>
    <t>Deep Reinforcement Learning Based Energy Consumption Minimization for Intelligent Reflecting Surfaces Assisted D2D Users Underlaying UAV Network</t>
  </si>
  <si>
    <t xml:space="preserve">	Energy Consumption Optimization for Heating, Ventilation and Air Conditioning Systems Based on Deep Reinforcement Learning</t>
  </si>
  <si>
    <t>Adaptive Traffic Light Control With Deep Reinforcement Learning: An Evaluation of Traffic Flow and Energy Consumption</t>
  </si>
  <si>
    <t>Research on Deep Learning Energy Consumption Prediction Based on Generating Confrontation Network</t>
  </si>
  <si>
    <t>Energy Consumption and Communication Quality Tradeoff for Logistics UAVs: A Hybrid Deep Reinforcement Learning Approach</t>
  </si>
  <si>
    <t xml:space="preserve">	Balancing Energy Consumption and Thermal Comfort with Deep Reinforcement Learning</t>
  </si>
  <si>
    <t>Deep Transfer Learning for Detecting Electric Vehicles Highly Correlated Energy Consumption Parameters</t>
  </si>
  <si>
    <t>A Generative Deep Learning Framework Across Time Series to Optimize the Energy Consumption of Air Conditioning Systems</t>
  </si>
  <si>
    <t>Clustering and Deep-Learning for Energy Consumption Forecast in Smart Buildings</t>
  </si>
  <si>
    <t>DeepECO: Applying Deep Learning for Occupancy Detection from Energy Consumption Data</t>
  </si>
  <si>
    <t>A Transistor Operations Model for Deep Learning Energy Consumption Scaling Law</t>
  </si>
  <si>
    <t>Deep Learning Method to Analyze the Bi-LSTM Model for Energy Consumption Forecasting in Smart Cities</t>
  </si>
  <si>
    <t xml:space="preserve">	Deep Learning Model for Forecasting Institutional Building Energy Consumption</t>
  </si>
  <si>
    <t>Predicting Internal Energy Consumption of a Wind Turbine Using Semi-Supervised Deep Learning</t>
  </si>
  <si>
    <t>Joint Optimization of Latency and Energy Consumption via Deep Reinforcement Learning for Proximity Detection in Road Networks</t>
  </si>
  <si>
    <t>Optimizing Energy Consumption and Latency in IoT Through Edge Computing in Air-Ground Integrated Network With Deep Reinforcement Learning</t>
  </si>
  <si>
    <t xml:space="preserve">	Exploring Deep Learning and Tree-Based Ensemble Models for Chiller Energy Consumption Predictions</t>
  </si>
  <si>
    <t>Joint Latency and Energy Consumption Optimization with Deep Reinforcement Learning for Proximity Detection in Road Networks</t>
  </si>
  <si>
    <t>Deep Learning-Based Prediction of Household Energy Consumption: An LSTM Approach with High Precision</t>
  </si>
  <si>
    <t>Dynamic Incentive Pricing Menu Differentiated EV Real-Time Charging Schedule to Increase Renewable Energy Consumption: A Deep Reinforcement Learning Approach</t>
  </si>
  <si>
    <t>Deep Learning Model for Energy Consumption Prediction and Carbon Emission Estimation</t>
  </si>
  <si>
    <t>Predicting Inference Time and Energy Consumption in Deep Learning Using MLPs</t>
  </si>
  <si>
    <t>Improving Energy Consumption Forecasting with Contextual Awareness: A Hybrid Deep Learning Perspective</t>
  </si>
  <si>
    <t xml:space="preserve">	Deep learning-based model predictive control for energy saving and consumption reduction in HVAC systems</t>
  </si>
  <si>
    <t>Effective Deep Learning Techniques for Prediction of Energy Consumption in Smart Buildings</t>
  </si>
  <si>
    <t xml:space="preserve">	Physics-Constrained Two-Stage Deep Learning for Energy Consumption Prediction in Immersion Liquid-Cooled Data Centers</t>
  </si>
  <si>
    <t>Mamba Deep Learning-Based Intelligent Energy Consumption Regulation and Sustainable Design for Digital Twin Office Spaces</t>
  </si>
  <si>
    <t>A Review on Deep Learning and Hybrid Model for Forecasting Residential and Commercial Buildings Energy Consumption</t>
  </si>
  <si>
    <t>Exploring Factors Influencing Energy Consumption Behavior Among Higher Education Students Using Deep Learning</t>
  </si>
  <si>
    <t>Prediction of Energy Consumption Using Deep Learning Architectures for Tabular Data</t>
  </si>
  <si>
    <t xml:space="preserve">	Benchmarking Deep Learning Architectures for Forecasting Building Energy Consumption and Solar Irradiation</t>
  </si>
  <si>
    <t xml:space="preserve">	Short-Term Energy Consumption Forecasting in Smart Steel Plants Based on Hybrid and Featured Deep Learning Methods</t>
  </si>
  <si>
    <t>Federated Reinforcement Learning and Deep Q-Network: Improving Fault Tolerance and Energy Consumption in Swarm Robotics for Mine Prospection Missions</t>
  </si>
  <si>
    <t xml:space="preserve">	Energy Consumption Probabilistic Prediction of HVAC Systems in Public Buildings Based on Deep Learning Fusion Model</t>
  </si>
  <si>
    <t>A Deep Learning-based Framework for Energy Consumption Prediction and Anomaly Detection in Residential Buildings</t>
  </si>
  <si>
    <t>Forecasting Data Server Energy Consumption Using LSTM Deep Learning Models</t>
  </si>
  <si>
    <t xml:space="preserve">	Machine and Deep Learning Impact on Energy Consumption Enhancement in IoT Systems</t>
  </si>
  <si>
    <t>A Community-level Energy Consumption Modeling Method based on Oblique Photogrammetry and Deep Learning</t>
  </si>
  <si>
    <t>Multi-Agent Deep Reinforcement Learning for Joint Optimization of Latency and Energy Consumption Oriented to Communication-Sensing-Computation Integration in IoV</t>
  </si>
  <si>
    <t xml:space="preserve">	Energy Consumption Prediction and Optimal Control of HVAC Systems Based on Deep Learning</t>
  </si>
  <si>
    <t xml:space="preserve">	Federated Deep Reinforcement Learning for Delay and Energy Consumption Tradeoff in Scalable Cell-Free Mobile Edge Computing Networks</t>
  </si>
  <si>
    <t>Deep Learning-Based Energy Consumption Modeling in Smart Buildings</t>
  </si>
  <si>
    <t>Deep Learning-based Data Collection to Reduce Energy Consumption in Internet of Things Devices</t>
  </si>
  <si>
    <t>Prediction of Ship Energy Consumption Based on Deep Learning</t>
  </si>
  <si>
    <t>YES</t>
  </si>
  <si>
    <t>NO</t>
  </si>
  <si>
    <t>Total Papers: 95/95</t>
  </si>
  <si>
    <t>allintitle: "neural network" AND "energy consumption" AND training</t>
  </si>
  <si>
    <t>Application of Linear Regression and Artificial Neural Networks for Load Forecasting the Consumption of Fuel and Energy Resources Train Traction</t>
  </si>
  <si>
    <t>Total Papers: 1/1</t>
  </si>
  <si>
    <t>allintitle: "deep learning" AND "energy consumption" AND prediction</t>
  </si>
  <si>
    <t>Renewable Energy Consumption on Solar and Wind Energy Prediction Using Deep Learning and Generative AI</t>
  </si>
  <si>
    <t>Energy Consumption Prediction System Based on Deep Learning with Edge Computing</t>
  </si>
  <si>
    <t xml:space="preserve">	Time-Efficient Deep Learning-Based Energy Consumption Prediction for Smart Factory</t>
  </si>
  <si>
    <t>Fuel Consumption Prediction from Car Images Using CNN-Based Deep and Transfer Learning for Energy Efficiency and Sustainability</t>
  </si>
  <si>
    <t>Research on Building Energy Consumption Prediction and Optimal Control System Based on Deep Learning Algorithm</t>
  </si>
  <si>
    <t xml:space="preserve">	Evolutionary Deep Learning-Based Energy Consumption Prediction for Buildings</t>
  </si>
  <si>
    <t>Exploring Deep Learning and Tree-Based Ensemble Models for Chiller Energy Consumption Predictions</t>
  </si>
  <si>
    <t>Physics-Constrained Two-Stage Deep Learning for Energy Consumption Prediction in Immersion Liquid-Cooled Data Centers</t>
  </si>
  <si>
    <t>Energy Consumption Probabilistic Prediction of HVAC Systems in Public Buildings Based on Deep Learning Fusion Model</t>
  </si>
  <si>
    <t>Energy Consumption Prediction and Optimal Control of Hvac Systems Based on Deep Learning</t>
  </si>
  <si>
    <t>Total Papers: 23/23</t>
  </si>
  <si>
    <t>Carbon Footprint Monitoring System Using Machine Learning and Deep Learning Techniques</t>
  </si>
  <si>
    <t>Deep Reinforcement Learning based HVAC Control for Reducing Carbon Footprint of Buildings</t>
  </si>
  <si>
    <t>Special Session: End-To-End Carbon Footprint Assessment and Modeling of Deep Learning</t>
  </si>
  <si>
    <t>Green AI: Assessing the Carbon Footprint of Fine-Tuning Pre-Trained Deep Learning Models in Medical Imaging</t>
  </si>
  <si>
    <t>Performance Comparison of Deep Learning Models for CO2 Prediction: Analyzing Carbon Footprint with Advanced Trackers</t>
  </si>
  <si>
    <t>Data-Driven Carbon Footprint Estimation in Software Systems Using AI and Deep Learning</t>
  </si>
  <si>
    <t>Total Papers: 6/6</t>
  </si>
  <si>
    <t>Total Papers: 2/2</t>
  </si>
  <si>
    <t>Is Relevant?
(YES/NO)</t>
  </si>
  <si>
    <t>Title: "neural achitecture search" AND "energy"</t>
  </si>
  <si>
    <t>Detection of suspicious patterns of energy consumption using neural network trained by generated samples</t>
  </si>
  <si>
    <t>Application of Linear Regression and ANN for Load Forecasting the Consumption of Fuel and Energy Resources Train Traction</t>
  </si>
  <si>
    <t>UAV Energy Consumption Prediction: A Comparative Study from Four Different Deep Learning Models</t>
  </si>
  <si>
    <t>Applied Deep Learning Approaches for Energy Consumption Prediction</t>
  </si>
  <si>
    <t>Energy Consumption Prediction and Optimal Control of HVAC Systems Based on Deep Learning</t>
  </si>
  <si>
    <t>Image-Classifier Deep CNN Training by 9-bit Dedicated Hardware to Realize Validation Accuracy and Energy Efficiency Superior to Half Precision Floating Point</t>
  </si>
  <si>
    <t>Unleashing Energy-Efficiency: Neural Architecture Search without Training for Spiking Neural Networks on Loihi Chip</t>
  </si>
  <si>
    <t>EC-NAS: Energy Consumption Aware Tabular Benchmarks for Neural Architecture Search</t>
  </si>
  <si>
    <t>Automatic Control Optimization of New Energy Vehicle Battery Management System Based on Neural Architecture Search</t>
  </si>
  <si>
    <t>Neural Architecture Search-Guided Physics-Informed Neural Network for Energy Management in Hybrid Energy Storage System with Electric Vehicles</t>
  </si>
  <si>
    <t>Mixed Precision Neural Architecture Search for Energy Efficient Deep Learning</t>
  </si>
  <si>
    <t>Xpert: Peripheral Circuit &amp; Neural Architecture Co-search for Area and Energy-efficient Xbar-based Computing</t>
  </si>
  <si>
    <t>SFNAS-DDPG: A Biomass-Based Energy Hub Dynamic Scheduling Approach via Connecting Supervised Federated NAS and Deep Deterministic Policy Gradient</t>
  </si>
  <si>
    <t>Energy-Aware Integrated Neural Architecture Search and Partitioning for Distributed IoT</t>
  </si>
  <si>
    <t>An Improved Actor-Critic Reinforcement Learning with NAS for the Optimal Control Strategy of a Multi-Carrier Energy System</t>
  </si>
  <si>
    <t>Energy-Friendly Federated Neural Architecture Search for Industrial Cyber-Physical Systems</t>
  </si>
  <si>
    <t>Energy-Aware Deep Neural Architecture Search for Carbon-Efficient AI on Resource-Constrained Devices</t>
  </si>
  <si>
    <t>ERSAM: Neural Architecture Search for Energy-Efficient and Real-Time Social Ambiance Measurement</t>
  </si>
  <si>
    <t>Early-Exit Neural Architecture Search for Energy-Harvesting Edge Computing</t>
  </si>
  <si>
    <t>Total Papers: 13/13</t>
  </si>
  <si>
    <t>TOTALS - 42 PAPERS SCREENED</t>
  </si>
  <si>
    <t>Total Papers: 24/24</t>
  </si>
  <si>
    <t>Title: "neural network" AND "energy consumption" AND "training"</t>
  </si>
  <si>
    <t>Title: "deep learning" AND "energy consumption" AND "prediction"</t>
  </si>
  <si>
    <t>Title: "carbon footprint" AND "deep learning" AND "training"</t>
  </si>
  <si>
    <t>Title: "energy efficiency" AND "neural network" AND "training"</t>
  </si>
  <si>
    <t>dashboard for stats</t>
  </si>
  <si>
    <t>IEEE — Title Screening (elsevier.com)</t>
  </si>
  <si>
    <t>NONO</t>
  </si>
  <si>
    <t>NO2</t>
  </si>
  <si>
    <t>NO3</t>
  </si>
  <si>
    <t>NO4</t>
  </si>
  <si>
    <t>NO5</t>
  </si>
  <si>
    <t>NO6</t>
  </si>
  <si>
    <t>NO7</t>
  </si>
  <si>
    <t>NO8</t>
  </si>
  <si>
    <t>NO9</t>
  </si>
  <si>
    <t>2NO</t>
  </si>
  <si>
    <t>3NO</t>
  </si>
  <si>
    <t>4NO</t>
  </si>
  <si>
    <t>5NO</t>
  </si>
  <si>
    <t>6NO</t>
  </si>
  <si>
    <t>7NO</t>
  </si>
  <si>
    <t>8NO</t>
  </si>
  <si>
    <t>9NO</t>
  </si>
  <si>
    <t>Total Papers: NO/NO</t>
  </si>
  <si>
    <t>AbYESrmality Detection in Smart Home Energy Consumption by Statistical, Machine Learning, and Deep Learning Approaches</t>
  </si>
  <si>
    <t>NOYES</t>
  </si>
  <si>
    <t xml:space="preserve">	Using Deep Learning and KYESwledge Transfer to Disaggregate Energy Consumption</t>
  </si>
  <si>
    <t>2YES</t>
  </si>
  <si>
    <t>3YES</t>
  </si>
  <si>
    <t>Deep Learning-Based AYESmaly Detection in Energy Consumption Data of Buildings: A Comparative Study</t>
  </si>
  <si>
    <t>4YES</t>
  </si>
  <si>
    <t>5YES</t>
  </si>
  <si>
    <t>6YES</t>
  </si>
  <si>
    <t xml:space="preserve">	Deep Learning for Time-Series Forecasting With ExogeYESus Variables in Energy Consumption: A Performance and Interpretability Analysis</t>
  </si>
  <si>
    <t>7YES</t>
  </si>
  <si>
    <t>8YES</t>
  </si>
  <si>
    <t>A YESvel Approach to Faster Convergence and Improved Accuracy in Deep Learning-Based Electrical Energy Consumption Forecast Models for Large Consumer Groups</t>
  </si>
  <si>
    <t>A Deep Learning-based Framework for Energy Consumption Prediction and AYESmaly Detection in Residential Buildings</t>
  </si>
  <si>
    <t>9YES</t>
  </si>
  <si>
    <t>Dual-Modified PDMS-Based Triboelectric NaYESgenerator for Biomechanical Energy Harvesting and Deep Learning-Driven Caloric Consumption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</si>
</sst>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1E8449"/>
      <name val="Arial"/>
    </font>
    <font>
      <b/>
      <sz val="10"/>
      <color rgb="FFB7950B"/>
      <name val="Arial"/>
    </font>
    <font>
      <b/>
      <sz val="10"/>
      <color rgb="FFC0392B"/>
      <name val="Arial"/>
    </font>
    <font>
      <b/>
      <sz val="14"/>
      <color rgb="FFFFFFFF"/>
      <name val="Arial"/>
    </font>
    <font>
      <i/>
      <sz val="10"/>
      <color rgb="FF000000"/>
      <name val="Arial"/>
    </font>
    <font>
      <i/>
      <sz val="10"/>
      <color rgb="FFC0392B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C0392B"/>
      <name val="Arial"/>
      <family val="2"/>
    </font>
    <font>
      <b/>
      <sz val="10"/>
      <color rgb="FF1E8449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rgb="FFFFFFFF"/>
      <name val="Arial"/>
      <family val="2"/>
    </font>
    <font>
      <sz val="9"/>
      <color rgb="FF444444"/>
      <name val="Arial"/>
      <family val="2"/>
    </font>
    <font>
      <sz val="10"/>
      <color rgb="FF000000"/>
      <name val="Arial"/>
      <family val="2"/>
    </font>
    <font>
      <b/>
      <sz val="9"/>
      <color rgb="FF444444"/>
      <name val="Arial"/>
      <family val="2"/>
    </font>
    <font>
      <b/>
      <sz val="10"/>
      <color rgb="FF2E75B6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2F2F2"/>
      </patternFill>
    </fill>
    <fill>
      <patternFill patternType="solid">
        <fgColor rgb="FFFEF9E7"/>
      </patternFill>
    </fill>
    <fill>
      <patternFill patternType="solid">
        <fgColor rgb="FFFDECEA"/>
      </patternFill>
    </fill>
    <fill>
      <patternFill patternType="solid">
        <fgColor rgb="FFE8F8F5"/>
      </patternFill>
    </fill>
    <fill>
      <patternFill patternType="solid">
        <fgColor rgb="FF6C3483"/>
      </patternFill>
    </fill>
    <fill>
      <patternFill patternType="solid">
        <fgColor rgb="FFFAFAFA"/>
      </patternFill>
    </fill>
    <fill>
      <patternFill patternType="solid">
        <fgColor rgb="FFEBF3FB"/>
      </patternFill>
    </fill>
    <fill>
      <patternFill patternType="solid">
        <fgColor rgb="FFEDF7ED"/>
      </patternFill>
    </fill>
    <fill>
      <patternFill patternType="solid">
        <fgColor rgb="FFF3E8FF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FDFEFE"/>
      </patternFill>
    </fill>
    <fill>
      <patternFill patternType="solid">
        <fgColor theme="3"/>
        <bgColor indexed="64"/>
      </patternFill>
    </fill>
    <fill>
      <patternFill patternType="solid">
        <fgColor rgb="FFC0392B"/>
      </patternFill>
    </fill>
    <fill>
      <patternFill patternType="solid">
        <fgColor rgb="FF00B050"/>
        <bgColor indexed="64"/>
      </patternFill>
    </fill>
    <fill>
      <patternFill patternType="solid">
        <fgColor rgb="FF00602B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12" fillId="19" borderId="2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0" fontId="13" fillId="0" borderId="0" xfId="0" applyFont="1"/>
    <xf numFmtId="0" fontId="21" fillId="3" borderId="1" xfId="0" applyFont="1" applyFill="1" applyBorder="1" applyAlignment="1">
      <alignment horizontal="left" vertical="center"/>
    </xf>
    <xf numFmtId="0" fontId="12" fillId="22" borderId="0" xfId="0" applyFont="1" applyFill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0" fontId="19" fillId="21" borderId="4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1B2E8"/>
      <color rgb="FFA3FFCD"/>
      <color rgb="FFE796F4"/>
      <color rgb="FFFFF3CD"/>
      <color rgb="FF0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opLeftCell="A5" workbookViewId="0">
      <selection activeCell="E18" sqref="E18"/>
    </sheetView>
  </sheetViews>
  <sheetFormatPr defaultRowHeight="14.4" x14ac:dyDescent="0.3"/>
  <cols>
    <col min="1" max="1" width="22" customWidth="1"/>
    <col min="2" max="2" width="58" customWidth="1"/>
    <col min="3" max="3" width="28" customWidth="1"/>
  </cols>
  <sheetData>
    <row r="1" spans="1:3" ht="30" customHeight="1" x14ac:dyDescent="0.3">
      <c r="A1" s="62" t="s">
        <v>0</v>
      </c>
      <c r="B1" s="63"/>
      <c r="C1" s="63"/>
    </row>
    <row r="2" spans="1:3" ht="19.95" customHeight="1" x14ac:dyDescent="0.3">
      <c r="A2" s="64" t="s">
        <v>1</v>
      </c>
      <c r="B2" s="63"/>
      <c r="C2" s="63"/>
    </row>
    <row r="3" spans="1:3" ht="22.05" customHeight="1" x14ac:dyDescent="0.3">
      <c r="A3" s="1" t="s">
        <v>2</v>
      </c>
      <c r="B3" s="1" t="s">
        <v>3</v>
      </c>
      <c r="C3" s="1" t="s">
        <v>4</v>
      </c>
    </row>
    <row r="4" spans="1:3" ht="37.200000000000003" customHeight="1" x14ac:dyDescent="0.3">
      <c r="A4" s="2" t="s">
        <v>5</v>
      </c>
      <c r="B4" s="3" t="s">
        <v>6</v>
      </c>
      <c r="C4" s="4" t="s">
        <v>7</v>
      </c>
    </row>
    <row r="5" spans="1:3" ht="34.799999999999997" customHeight="1" x14ac:dyDescent="0.3">
      <c r="A5" s="5" t="s">
        <v>8</v>
      </c>
      <c r="B5" s="6" t="s">
        <v>9</v>
      </c>
      <c r="C5" s="7" t="s">
        <v>10</v>
      </c>
    </row>
    <row r="6" spans="1:3" ht="30" customHeight="1" x14ac:dyDescent="0.3">
      <c r="A6" s="2" t="s">
        <v>11</v>
      </c>
      <c r="B6" s="3" t="s">
        <v>12</v>
      </c>
      <c r="C6" s="4" t="s">
        <v>7</v>
      </c>
    </row>
    <row r="7" spans="1:3" ht="36" customHeight="1" x14ac:dyDescent="0.3">
      <c r="A7" s="5" t="s">
        <v>13</v>
      </c>
      <c r="B7" s="6" t="s">
        <v>14</v>
      </c>
      <c r="C7" s="7" t="s">
        <v>10</v>
      </c>
    </row>
    <row r="8" spans="1:3" ht="36" customHeight="1" x14ac:dyDescent="0.3">
      <c r="A8" s="2" t="s">
        <v>15</v>
      </c>
      <c r="B8" s="3" t="s">
        <v>16</v>
      </c>
      <c r="C8" s="7" t="s">
        <v>17</v>
      </c>
    </row>
    <row r="9" spans="1:3" ht="35.4" customHeight="1" x14ac:dyDescent="0.3">
      <c r="A9" s="5" t="s">
        <v>18</v>
      </c>
      <c r="B9" s="6" t="s">
        <v>19</v>
      </c>
      <c r="C9" s="7" t="s">
        <v>20</v>
      </c>
    </row>
    <row r="10" spans="1:3" ht="22.05" customHeight="1" x14ac:dyDescent="0.3">
      <c r="A10" s="2" t="s">
        <v>21</v>
      </c>
      <c r="B10" s="3" t="s">
        <v>22</v>
      </c>
      <c r="C10" s="4" t="s">
        <v>7</v>
      </c>
    </row>
    <row r="11" spans="1:3" ht="22.05" customHeight="1" x14ac:dyDescent="0.3">
      <c r="A11" s="5" t="s">
        <v>23</v>
      </c>
      <c r="B11" s="6" t="s">
        <v>24</v>
      </c>
      <c r="C11" s="4" t="s">
        <v>7</v>
      </c>
    </row>
    <row r="12" spans="1:3" ht="22.05" customHeight="1" x14ac:dyDescent="0.3">
      <c r="A12" s="2" t="s">
        <v>25</v>
      </c>
      <c r="B12" s="3" t="s">
        <v>26</v>
      </c>
      <c r="C12" s="4" t="s">
        <v>7</v>
      </c>
    </row>
    <row r="13" spans="1:3" ht="22.05" customHeight="1" x14ac:dyDescent="0.3">
      <c r="A13" s="5" t="s">
        <v>28</v>
      </c>
      <c r="B13" s="6" t="s">
        <v>29</v>
      </c>
      <c r="C13" s="8" t="s">
        <v>27</v>
      </c>
    </row>
    <row r="14" spans="1:3" ht="22.05" customHeight="1" x14ac:dyDescent="0.3">
      <c r="A14" s="5" t="s">
        <v>31</v>
      </c>
      <c r="B14" s="6" t="s">
        <v>32</v>
      </c>
      <c r="C14" s="4" t="s">
        <v>7</v>
      </c>
    </row>
    <row r="15" spans="1:3" ht="22.05" customHeight="1" x14ac:dyDescent="0.3">
      <c r="A15" s="2" t="s">
        <v>33</v>
      </c>
      <c r="B15" s="3" t="s">
        <v>34</v>
      </c>
      <c r="C15" s="4" t="s">
        <v>7</v>
      </c>
    </row>
    <row r="16" spans="1:3" ht="28.8" customHeight="1" x14ac:dyDescent="0.3">
      <c r="A16" s="5" t="s">
        <v>35</v>
      </c>
      <c r="B16" s="6" t="s">
        <v>36</v>
      </c>
      <c r="C16" s="8" t="s">
        <v>37</v>
      </c>
    </row>
    <row r="17" spans="1:3" ht="32.4" customHeight="1" x14ac:dyDescent="0.3">
      <c r="A17" s="2" t="s">
        <v>38</v>
      </c>
      <c r="B17" s="3" t="s">
        <v>39</v>
      </c>
      <c r="C17" s="8" t="s">
        <v>40</v>
      </c>
    </row>
    <row r="18" spans="1:3" ht="28.8" customHeight="1" x14ac:dyDescent="0.3">
      <c r="A18" s="5" t="s">
        <v>41</v>
      </c>
      <c r="B18" s="6" t="s">
        <v>42</v>
      </c>
      <c r="C18" s="7" t="s">
        <v>10</v>
      </c>
    </row>
    <row r="19" spans="1:3" ht="27" customHeight="1" x14ac:dyDescent="0.3">
      <c r="A19" s="2" t="s">
        <v>43</v>
      </c>
      <c r="B19" s="3" t="s">
        <v>44</v>
      </c>
      <c r="C19" s="61" t="s">
        <v>348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A2" sqref="A2:XFD2"/>
    </sheetView>
  </sheetViews>
  <sheetFormatPr defaultRowHeight="14.4" x14ac:dyDescent="0.3"/>
  <cols>
    <col min="1" max="1" width="18" customWidth="1"/>
    <col min="2" max="2" width="32" customWidth="1"/>
    <col min="3" max="3" width="62" customWidth="1"/>
    <col min="4" max="4" width="16" customWidth="1"/>
  </cols>
  <sheetData>
    <row r="1" spans="1:4" ht="30" customHeight="1" x14ac:dyDescent="0.3">
      <c r="A1" s="65" t="s">
        <v>45</v>
      </c>
      <c r="B1" s="63"/>
      <c r="C1" s="63"/>
      <c r="D1" s="63"/>
    </row>
    <row r="2" spans="1:4" ht="22.05" customHeight="1" x14ac:dyDescent="0.3">
      <c r="A2" s="1" t="s">
        <v>46</v>
      </c>
      <c r="B2" s="1" t="s">
        <v>47</v>
      </c>
      <c r="C2" s="1" t="s">
        <v>48</v>
      </c>
      <c r="D2" s="1" t="s">
        <v>49</v>
      </c>
    </row>
    <row r="3" spans="1:4" ht="36" customHeight="1" x14ac:dyDescent="0.3">
      <c r="A3" s="5" t="s">
        <v>50</v>
      </c>
      <c r="B3" s="9" t="s">
        <v>51</v>
      </c>
      <c r="C3" s="6" t="s">
        <v>52</v>
      </c>
      <c r="D3" s="10" t="s">
        <v>53</v>
      </c>
    </row>
    <row r="4" spans="1:4" ht="36" customHeight="1" x14ac:dyDescent="0.3">
      <c r="A4" s="2" t="s">
        <v>54</v>
      </c>
      <c r="B4" s="11" t="s">
        <v>55</v>
      </c>
      <c r="C4" s="3" t="s">
        <v>56</v>
      </c>
      <c r="D4" s="12" t="s">
        <v>53</v>
      </c>
    </row>
    <row r="5" spans="1:4" ht="36" customHeight="1" x14ac:dyDescent="0.3">
      <c r="A5" s="5" t="s">
        <v>57</v>
      </c>
      <c r="B5" s="9" t="s">
        <v>58</v>
      </c>
      <c r="C5" s="6" t="s">
        <v>59</v>
      </c>
      <c r="D5" s="10" t="s">
        <v>60</v>
      </c>
    </row>
    <row r="6" spans="1:4" ht="36" customHeight="1" x14ac:dyDescent="0.3">
      <c r="A6" s="2" t="s">
        <v>61</v>
      </c>
      <c r="B6" s="11" t="s">
        <v>62</v>
      </c>
      <c r="C6" s="3" t="s">
        <v>63</v>
      </c>
      <c r="D6" s="12" t="s">
        <v>64</v>
      </c>
    </row>
    <row r="7" spans="1:4" ht="36" customHeight="1" x14ac:dyDescent="0.3">
      <c r="A7" s="5" t="s">
        <v>65</v>
      </c>
      <c r="B7" s="9" t="s">
        <v>66</v>
      </c>
      <c r="C7" s="6" t="s">
        <v>67</v>
      </c>
      <c r="D7" s="10" t="s">
        <v>64</v>
      </c>
    </row>
    <row r="8" spans="1:4" ht="36" customHeight="1" x14ac:dyDescent="0.3">
      <c r="A8" s="2" t="s">
        <v>68</v>
      </c>
      <c r="B8" s="11" t="s">
        <v>69</v>
      </c>
      <c r="C8" s="3" t="s">
        <v>70</v>
      </c>
      <c r="D8" s="12" t="s">
        <v>71</v>
      </c>
    </row>
    <row r="9" spans="1:4" ht="36" customHeight="1" x14ac:dyDescent="0.3">
      <c r="A9" s="5" t="s">
        <v>72</v>
      </c>
      <c r="B9" s="9" t="s">
        <v>73</v>
      </c>
      <c r="C9" s="6" t="s">
        <v>74</v>
      </c>
      <c r="D9" s="10" t="s">
        <v>71</v>
      </c>
    </row>
    <row r="10" spans="1:4" ht="36" customHeight="1" x14ac:dyDescent="0.3">
      <c r="A10" s="2" t="s">
        <v>75</v>
      </c>
      <c r="B10" s="11" t="s">
        <v>76</v>
      </c>
      <c r="C10" s="3" t="s">
        <v>77</v>
      </c>
      <c r="D10" s="12" t="s">
        <v>71</v>
      </c>
    </row>
    <row r="11" spans="1:4" ht="36" customHeight="1" x14ac:dyDescent="0.3">
      <c r="A11" s="5" t="s">
        <v>78</v>
      </c>
      <c r="B11" s="9" t="s">
        <v>79</v>
      </c>
      <c r="C11" s="6" t="s">
        <v>80</v>
      </c>
      <c r="D11" s="10" t="s">
        <v>71</v>
      </c>
    </row>
    <row r="12" spans="1:4" ht="36" customHeight="1" x14ac:dyDescent="0.3">
      <c r="A12" s="2" t="s">
        <v>81</v>
      </c>
      <c r="B12" s="11" t="s">
        <v>82</v>
      </c>
      <c r="C12" s="3" t="s">
        <v>83</v>
      </c>
      <c r="D12" s="12" t="s">
        <v>64</v>
      </c>
    </row>
    <row r="13" spans="1:4" ht="36" customHeight="1" x14ac:dyDescent="0.3">
      <c r="A13" s="5" t="s">
        <v>84</v>
      </c>
      <c r="B13" s="9" t="s">
        <v>85</v>
      </c>
      <c r="C13" s="6" t="s">
        <v>86</v>
      </c>
      <c r="D13" s="10" t="s">
        <v>87</v>
      </c>
    </row>
    <row r="14" spans="1:4" ht="36" customHeight="1" x14ac:dyDescent="0.3">
      <c r="A14" s="2" t="s">
        <v>88</v>
      </c>
      <c r="B14" s="11" t="s">
        <v>89</v>
      </c>
      <c r="C14" s="3" t="s">
        <v>90</v>
      </c>
      <c r="D14" s="12" t="s">
        <v>87</v>
      </c>
    </row>
    <row r="15" spans="1:4" ht="36" customHeight="1" x14ac:dyDescent="0.3">
      <c r="A15" s="5" t="s">
        <v>91</v>
      </c>
      <c r="B15" s="9" t="s">
        <v>92</v>
      </c>
      <c r="C15" s="6" t="s">
        <v>93</v>
      </c>
      <c r="D15" s="10" t="s">
        <v>87</v>
      </c>
    </row>
    <row r="16" spans="1:4" ht="36" customHeight="1" x14ac:dyDescent="0.3">
      <c r="A16" s="2" t="s">
        <v>94</v>
      </c>
      <c r="B16" s="11" t="s">
        <v>95</v>
      </c>
      <c r="C16" s="3" t="s">
        <v>96</v>
      </c>
      <c r="D16" s="12" t="s">
        <v>87</v>
      </c>
    </row>
    <row r="17" spans="1:4" ht="36" customHeight="1" x14ac:dyDescent="0.3">
      <c r="A17" s="5" t="s">
        <v>97</v>
      </c>
      <c r="B17" s="9" t="s">
        <v>98</v>
      </c>
      <c r="C17" s="6" t="s">
        <v>99</v>
      </c>
      <c r="D17" s="10" t="s">
        <v>87</v>
      </c>
    </row>
    <row r="18" spans="1:4" ht="36" customHeight="1" x14ac:dyDescent="0.3">
      <c r="A18" s="2" t="s">
        <v>100</v>
      </c>
      <c r="B18" s="11" t="s">
        <v>101</v>
      </c>
      <c r="C18" s="3" t="s">
        <v>102</v>
      </c>
      <c r="D18" s="12" t="s">
        <v>87</v>
      </c>
    </row>
    <row r="19" spans="1:4" ht="36" customHeight="1" x14ac:dyDescent="0.3">
      <c r="A19" s="5" t="s">
        <v>103</v>
      </c>
      <c r="B19" s="9" t="s">
        <v>104</v>
      </c>
      <c r="C19" s="6" t="s">
        <v>105</v>
      </c>
      <c r="D19" s="10" t="s">
        <v>87</v>
      </c>
    </row>
    <row r="20" spans="1:4" ht="36" customHeight="1" x14ac:dyDescent="0.3">
      <c r="A20" s="2" t="s">
        <v>106</v>
      </c>
      <c r="B20" s="11" t="s">
        <v>107</v>
      </c>
      <c r="C20" s="3" t="s">
        <v>108</v>
      </c>
      <c r="D20" s="12" t="s">
        <v>87</v>
      </c>
    </row>
    <row r="21" spans="1:4" ht="36" customHeight="1" x14ac:dyDescent="0.3">
      <c r="A21" s="5" t="s">
        <v>109</v>
      </c>
      <c r="B21" s="9" t="s">
        <v>110</v>
      </c>
      <c r="C21" s="6" t="s">
        <v>111</v>
      </c>
      <c r="D21" s="10" t="s">
        <v>71</v>
      </c>
    </row>
    <row r="22" spans="1:4" ht="36" customHeight="1" x14ac:dyDescent="0.3">
      <c r="A22" s="2" t="s">
        <v>112</v>
      </c>
      <c r="B22" s="11" t="s">
        <v>113</v>
      </c>
      <c r="C22" s="3" t="s">
        <v>114</v>
      </c>
      <c r="D22" s="12" t="s">
        <v>71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zoomScale="70" zoomScaleNormal="70" workbookViewId="0">
      <selection sqref="A1:D1"/>
    </sheetView>
  </sheetViews>
  <sheetFormatPr defaultRowHeight="14.4" x14ac:dyDescent="0.3"/>
  <cols>
    <col min="1" max="1" width="32" customWidth="1"/>
    <col min="2" max="2" width="20" customWidth="1"/>
    <col min="3" max="3" width="40" customWidth="1"/>
    <col min="4" max="4" width="18" customWidth="1"/>
  </cols>
  <sheetData>
    <row r="1" spans="1:4" ht="30" customHeight="1" x14ac:dyDescent="0.3">
      <c r="A1" s="65" t="s">
        <v>120</v>
      </c>
      <c r="B1" s="63"/>
      <c r="C1" s="63"/>
      <c r="D1" s="63"/>
    </row>
    <row r="2" spans="1:4" ht="18" customHeight="1" x14ac:dyDescent="0.3">
      <c r="A2" s="66" t="s">
        <v>121</v>
      </c>
      <c r="B2" s="63"/>
      <c r="C2" s="63"/>
      <c r="D2" s="63"/>
    </row>
    <row r="3" spans="1:4" ht="19.95" customHeight="1" x14ac:dyDescent="0.3">
      <c r="A3" s="64" t="s">
        <v>122</v>
      </c>
      <c r="B3" s="63"/>
      <c r="C3" s="63"/>
      <c r="D3" s="63"/>
    </row>
    <row r="4" spans="1:4" ht="22.05" customHeight="1" x14ac:dyDescent="0.3">
      <c r="A4" s="1" t="s">
        <v>118</v>
      </c>
      <c r="B4" s="1" t="s">
        <v>123</v>
      </c>
      <c r="C4" s="1" t="s">
        <v>124</v>
      </c>
      <c r="D4" s="1" t="s">
        <v>115</v>
      </c>
    </row>
    <row r="5" spans="1:4" ht="24" customHeight="1" x14ac:dyDescent="0.3">
      <c r="A5" s="2" t="s">
        <v>116</v>
      </c>
      <c r="B5" s="12">
        <v>6</v>
      </c>
      <c r="C5" s="7" t="s">
        <v>125</v>
      </c>
      <c r="D5" s="3"/>
    </row>
    <row r="6" spans="1:4" ht="24" customHeight="1" x14ac:dyDescent="0.3">
      <c r="A6" s="5" t="s">
        <v>30</v>
      </c>
      <c r="B6" s="10" t="s">
        <v>126</v>
      </c>
      <c r="C6" s="7" t="s">
        <v>125</v>
      </c>
      <c r="D6" s="6"/>
    </row>
    <row r="7" spans="1:4" ht="24" customHeight="1" x14ac:dyDescent="0.3">
      <c r="A7" s="2" t="s">
        <v>23</v>
      </c>
      <c r="B7" s="12">
        <v>127</v>
      </c>
      <c r="C7" s="7" t="s">
        <v>125</v>
      </c>
      <c r="D7" s="3"/>
    </row>
    <row r="8" spans="1:4" ht="24" customHeight="1" x14ac:dyDescent="0.3">
      <c r="A8" s="5" t="s">
        <v>25</v>
      </c>
      <c r="B8" s="10" t="s">
        <v>126</v>
      </c>
      <c r="C8" s="7" t="s">
        <v>125</v>
      </c>
      <c r="D8" s="6"/>
    </row>
    <row r="9" spans="1:4" ht="24" customHeight="1" x14ac:dyDescent="0.3">
      <c r="A9" s="2" t="s">
        <v>28</v>
      </c>
      <c r="B9" s="12" t="s">
        <v>126</v>
      </c>
      <c r="C9" s="7" t="s">
        <v>125</v>
      </c>
      <c r="D9" s="3"/>
    </row>
    <row r="10" spans="1:4" ht="24" customHeight="1" x14ac:dyDescent="0.3">
      <c r="A10" s="5" t="s">
        <v>31</v>
      </c>
      <c r="B10" s="10" t="s">
        <v>126</v>
      </c>
      <c r="C10" s="7" t="s">
        <v>125</v>
      </c>
      <c r="D10" s="6"/>
    </row>
    <row r="11" spans="1:4" ht="24" customHeight="1" x14ac:dyDescent="0.3">
      <c r="A11" s="2" t="s">
        <v>33</v>
      </c>
      <c r="B11" s="12" t="s">
        <v>126</v>
      </c>
      <c r="C11" s="7" t="s">
        <v>125</v>
      </c>
      <c r="D11" s="3"/>
    </row>
    <row r="12" spans="1:4" ht="24" customHeight="1" x14ac:dyDescent="0.3">
      <c r="A12" s="25" t="s">
        <v>127</v>
      </c>
      <c r="B12" s="22" t="s">
        <v>128</v>
      </c>
      <c r="C12" s="4" t="s">
        <v>129</v>
      </c>
      <c r="D12" s="26" t="s">
        <v>130</v>
      </c>
    </row>
    <row r="14" spans="1:4" ht="19.95" customHeight="1" x14ac:dyDescent="0.3">
      <c r="A14" s="67" t="s">
        <v>131</v>
      </c>
      <c r="B14" s="63"/>
      <c r="C14" s="63"/>
      <c r="D14" s="63"/>
    </row>
    <row r="15" spans="1:4" ht="22.05" customHeight="1" x14ac:dyDescent="0.3">
      <c r="A15" s="27" t="s">
        <v>132</v>
      </c>
      <c r="B15" s="27" t="s">
        <v>133</v>
      </c>
      <c r="C15" s="27" t="s">
        <v>134</v>
      </c>
      <c r="D15" s="27" t="s">
        <v>135</v>
      </c>
    </row>
    <row r="16" spans="1:4" ht="24" customHeight="1" x14ac:dyDescent="0.3">
      <c r="A16" s="28" t="s">
        <v>136</v>
      </c>
      <c r="B16" s="7" t="s">
        <v>125</v>
      </c>
      <c r="C16" s="29" t="s">
        <v>137</v>
      </c>
      <c r="D16" s="30"/>
    </row>
    <row r="17" spans="1:4" ht="24" customHeight="1" x14ac:dyDescent="0.3">
      <c r="A17" s="31" t="s">
        <v>138</v>
      </c>
      <c r="B17" s="7" t="s">
        <v>125</v>
      </c>
      <c r="C17" s="32" t="s">
        <v>139</v>
      </c>
      <c r="D17" s="33"/>
    </row>
    <row r="18" spans="1:4" ht="24" customHeight="1" x14ac:dyDescent="0.3">
      <c r="A18" s="17" t="s">
        <v>140</v>
      </c>
      <c r="B18" s="7" t="s">
        <v>125</v>
      </c>
      <c r="C18" s="18" t="s">
        <v>141</v>
      </c>
      <c r="D18" s="19"/>
    </row>
    <row r="19" spans="1:4" ht="24" customHeight="1" x14ac:dyDescent="0.3">
      <c r="A19" s="20" t="s">
        <v>142</v>
      </c>
      <c r="B19" s="7" t="s">
        <v>125</v>
      </c>
      <c r="C19" s="21" t="s">
        <v>143</v>
      </c>
      <c r="D19" s="22"/>
    </row>
    <row r="20" spans="1:4" ht="24" customHeight="1" x14ac:dyDescent="0.3">
      <c r="A20" s="34" t="s">
        <v>144</v>
      </c>
      <c r="B20" s="7" t="s">
        <v>125</v>
      </c>
      <c r="C20" s="35" t="s">
        <v>145</v>
      </c>
      <c r="D20" s="36"/>
    </row>
    <row r="21" spans="1:4" ht="24" customHeight="1" x14ac:dyDescent="0.3">
      <c r="A21" s="13" t="s">
        <v>146</v>
      </c>
      <c r="B21" s="7" t="s">
        <v>147</v>
      </c>
      <c r="C21" s="14" t="s">
        <v>148</v>
      </c>
      <c r="D21" s="15"/>
    </row>
  </sheetData>
  <mergeCells count="4">
    <mergeCell ref="A1:D1"/>
    <mergeCell ref="A14:D1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C138"/>
  <sheetViews>
    <sheetView tabSelected="1" zoomScale="70" zoomScaleNormal="70" workbookViewId="0">
      <selection activeCell="J96" sqref="J96"/>
    </sheetView>
  </sheetViews>
  <sheetFormatPr defaultRowHeight="14.4" x14ac:dyDescent="0.3"/>
  <cols>
    <col min="1" max="1" width="5" customWidth="1"/>
    <col min="2" max="2" width="88.6640625" customWidth="1"/>
    <col min="3" max="3" width="14" customWidth="1"/>
  </cols>
  <sheetData>
    <row r="1" spans="1:3" ht="28.05" customHeight="1" x14ac:dyDescent="0.3">
      <c r="A1" s="69" t="s">
        <v>149</v>
      </c>
      <c r="B1" s="63"/>
      <c r="C1" s="63"/>
    </row>
    <row r="2" spans="1:3" ht="18" customHeight="1" x14ac:dyDescent="0.3">
      <c r="A2" s="72" t="s">
        <v>204</v>
      </c>
      <c r="B2" s="63"/>
      <c r="C2" s="63"/>
    </row>
    <row r="3" spans="1:3" ht="30" customHeight="1" x14ac:dyDescent="0.3">
      <c r="A3" s="51" t="s">
        <v>117</v>
      </c>
      <c r="B3" s="51" t="s">
        <v>119</v>
      </c>
      <c r="C3" s="51" t="s">
        <v>320</v>
      </c>
    </row>
    <row r="4" spans="1:3" ht="30" customHeight="1" x14ac:dyDescent="0.3">
      <c r="A4" s="45" t="s">
        <v>295</v>
      </c>
      <c r="B4" s="46" t="s">
        <v>205</v>
      </c>
      <c r="C4" s="48" t="s">
        <v>295</v>
      </c>
    </row>
    <row r="5" spans="1:3" ht="37.200000000000003" customHeight="1" x14ac:dyDescent="0.3">
      <c r="A5" s="47">
        <v>2</v>
      </c>
      <c r="B5" s="46" t="s">
        <v>206</v>
      </c>
      <c r="C5" s="48" t="s">
        <v>295</v>
      </c>
    </row>
    <row r="6" spans="1:3" ht="31.8" customHeight="1" x14ac:dyDescent="0.3">
      <c r="A6" s="45">
        <v>3</v>
      </c>
      <c r="B6" s="46" t="s">
        <v>368</v>
      </c>
      <c r="C6" s="48" t="s">
        <v>295</v>
      </c>
    </row>
    <row r="7" spans="1:3" ht="25.95" customHeight="1" x14ac:dyDescent="0.3">
      <c r="A7" s="47">
        <v>4</v>
      </c>
      <c r="B7" s="46" t="s">
        <v>207</v>
      </c>
      <c r="C7" s="48" t="s">
        <v>295</v>
      </c>
    </row>
    <row r="8" spans="1:3" ht="25.95" customHeight="1" x14ac:dyDescent="0.3">
      <c r="A8" s="45">
        <v>5</v>
      </c>
      <c r="B8" s="46" t="s">
        <v>208</v>
      </c>
      <c r="C8" s="49" t="s">
        <v>294</v>
      </c>
    </row>
    <row r="9" spans="1:3" ht="25.95" customHeight="1" x14ac:dyDescent="0.3">
      <c r="A9" s="47">
        <v>6</v>
      </c>
      <c r="B9" s="46" t="s">
        <v>209</v>
      </c>
      <c r="C9" s="49" t="s">
        <v>294</v>
      </c>
    </row>
    <row r="10" spans="1:3" ht="25.95" customHeight="1" x14ac:dyDescent="0.3">
      <c r="A10" s="45">
        <v>7</v>
      </c>
      <c r="B10" s="46" t="s">
        <v>210</v>
      </c>
      <c r="C10" s="48" t="s">
        <v>295</v>
      </c>
    </row>
    <row r="11" spans="1:3" ht="25.95" customHeight="1" x14ac:dyDescent="0.3">
      <c r="A11" s="47">
        <v>8</v>
      </c>
      <c r="B11" s="46" t="s">
        <v>211</v>
      </c>
      <c r="C11" s="48" t="s">
        <v>295</v>
      </c>
    </row>
    <row r="12" spans="1:3" ht="25.95" customHeight="1" x14ac:dyDescent="0.3">
      <c r="A12" s="45">
        <v>9</v>
      </c>
      <c r="B12" s="46" t="s">
        <v>212</v>
      </c>
      <c r="C12" s="48" t="s">
        <v>295</v>
      </c>
    </row>
    <row r="13" spans="1:3" ht="25.95" customHeight="1" x14ac:dyDescent="0.3">
      <c r="A13" s="47" t="s">
        <v>369</v>
      </c>
      <c r="B13" s="46" t="s">
        <v>370</v>
      </c>
      <c r="C13" s="49" t="s">
        <v>294</v>
      </c>
    </row>
    <row r="14" spans="1:3" ht="25.95" customHeight="1" x14ac:dyDescent="0.3">
      <c r="A14" s="45" t="s">
        <v>350</v>
      </c>
      <c r="B14" s="46" t="s">
        <v>213</v>
      </c>
      <c r="C14" s="48" t="s">
        <v>295</v>
      </c>
    </row>
    <row r="15" spans="1:3" ht="25.95" customHeight="1" x14ac:dyDescent="0.3">
      <c r="A15" s="47" t="s">
        <v>351</v>
      </c>
      <c r="B15" s="46" t="s">
        <v>214</v>
      </c>
      <c r="C15" s="48" t="s">
        <v>295</v>
      </c>
    </row>
    <row r="16" spans="1:3" ht="25.95" customHeight="1" x14ac:dyDescent="0.3">
      <c r="A16" s="45" t="s">
        <v>352</v>
      </c>
      <c r="B16" s="46" t="s">
        <v>215</v>
      </c>
      <c r="C16" s="49" t="s">
        <v>294</v>
      </c>
    </row>
    <row r="17" spans="1:3" ht="29.4" customHeight="1" x14ac:dyDescent="0.3">
      <c r="A17" s="47" t="s">
        <v>353</v>
      </c>
      <c r="B17" s="46" t="s">
        <v>216</v>
      </c>
      <c r="C17" s="48" t="s">
        <v>295</v>
      </c>
    </row>
    <row r="18" spans="1:3" ht="25.95" customHeight="1" x14ac:dyDescent="0.3">
      <c r="A18" s="45" t="s">
        <v>354</v>
      </c>
      <c r="B18" s="46" t="s">
        <v>217</v>
      </c>
      <c r="C18" s="48" t="s">
        <v>295</v>
      </c>
    </row>
    <row r="19" spans="1:3" ht="25.95" customHeight="1" x14ac:dyDescent="0.3">
      <c r="A19" s="47" t="s">
        <v>355</v>
      </c>
      <c r="B19" s="46" t="s">
        <v>218</v>
      </c>
      <c r="C19" s="48" t="s">
        <v>295</v>
      </c>
    </row>
    <row r="20" spans="1:3" ht="31.2" customHeight="1" x14ac:dyDescent="0.3">
      <c r="A20" s="45" t="s">
        <v>356</v>
      </c>
      <c r="B20" s="46" t="s">
        <v>219</v>
      </c>
      <c r="C20" s="48" t="s">
        <v>295</v>
      </c>
    </row>
    <row r="21" spans="1:3" ht="34.200000000000003" customHeight="1" x14ac:dyDescent="0.3">
      <c r="A21" s="47" t="s">
        <v>357</v>
      </c>
      <c r="B21" s="46" t="s">
        <v>220</v>
      </c>
      <c r="C21" s="48" t="s">
        <v>295</v>
      </c>
    </row>
    <row r="22" spans="1:3" ht="34.200000000000003" customHeight="1" x14ac:dyDescent="0.3">
      <c r="A22" s="45" t="s">
        <v>358</v>
      </c>
      <c r="B22" s="46" t="s">
        <v>221</v>
      </c>
      <c r="C22" s="48" t="s">
        <v>295</v>
      </c>
    </row>
    <row r="23" spans="1:3" ht="25.95" customHeight="1" x14ac:dyDescent="0.3">
      <c r="A23" s="47" t="s">
        <v>371</v>
      </c>
      <c r="B23" s="46" t="s">
        <v>222</v>
      </c>
      <c r="C23" s="48" t="s">
        <v>295</v>
      </c>
    </row>
    <row r="24" spans="1:3" ht="25.95" customHeight="1" x14ac:dyDescent="0.3">
      <c r="A24" s="45" t="s">
        <v>359</v>
      </c>
      <c r="B24" s="46" t="s">
        <v>223</v>
      </c>
      <c r="C24" s="48" t="s">
        <v>295</v>
      </c>
    </row>
    <row r="25" spans="1:3" ht="25.95" customHeight="1" x14ac:dyDescent="0.3">
      <c r="A25" s="47">
        <v>22</v>
      </c>
      <c r="B25" s="46" t="s">
        <v>224</v>
      </c>
      <c r="C25" s="48" t="s">
        <v>295</v>
      </c>
    </row>
    <row r="26" spans="1:3" ht="25.95" customHeight="1" x14ac:dyDescent="0.3">
      <c r="A26" s="45">
        <v>23</v>
      </c>
      <c r="B26" s="46" t="s">
        <v>225</v>
      </c>
      <c r="C26" s="48" t="s">
        <v>295</v>
      </c>
    </row>
    <row r="27" spans="1:3" ht="25.95" customHeight="1" x14ac:dyDescent="0.3">
      <c r="A27" s="47">
        <v>24</v>
      </c>
      <c r="B27" s="46" t="s">
        <v>226</v>
      </c>
      <c r="C27" s="49" t="s">
        <v>294</v>
      </c>
    </row>
    <row r="28" spans="1:3" ht="25.95" customHeight="1" x14ac:dyDescent="0.3">
      <c r="A28" s="45">
        <v>25</v>
      </c>
      <c r="B28" s="46" t="s">
        <v>227</v>
      </c>
      <c r="C28" s="48" t="s">
        <v>295</v>
      </c>
    </row>
    <row r="29" spans="1:3" ht="25.95" customHeight="1" x14ac:dyDescent="0.3">
      <c r="A29" s="47">
        <v>26</v>
      </c>
      <c r="B29" s="46" t="s">
        <v>228</v>
      </c>
      <c r="C29" s="48" t="s">
        <v>295</v>
      </c>
    </row>
    <row r="30" spans="1:3" ht="25.95" customHeight="1" x14ac:dyDescent="0.3">
      <c r="A30" s="45">
        <v>27</v>
      </c>
      <c r="B30" s="46" t="s">
        <v>229</v>
      </c>
      <c r="C30" s="48" t="s">
        <v>295</v>
      </c>
    </row>
    <row r="31" spans="1:3" ht="25.95" customHeight="1" x14ac:dyDescent="0.3">
      <c r="A31" s="47">
        <v>28</v>
      </c>
      <c r="B31" s="46" t="s">
        <v>230</v>
      </c>
      <c r="C31" s="49" t="s">
        <v>294</v>
      </c>
    </row>
    <row r="32" spans="1:3" ht="25.95" customHeight="1" x14ac:dyDescent="0.3">
      <c r="A32" s="45">
        <v>29</v>
      </c>
      <c r="B32" s="46" t="s">
        <v>231</v>
      </c>
      <c r="C32" s="48" t="s">
        <v>295</v>
      </c>
    </row>
    <row r="33" spans="1:3" ht="25.95" customHeight="1" x14ac:dyDescent="0.3">
      <c r="A33" s="47" t="s">
        <v>372</v>
      </c>
      <c r="B33" s="46" t="s">
        <v>232</v>
      </c>
      <c r="C33" s="49" t="s">
        <v>294</v>
      </c>
    </row>
    <row r="34" spans="1:3" ht="25.95" customHeight="1" x14ac:dyDescent="0.3">
      <c r="A34" s="45" t="s">
        <v>360</v>
      </c>
      <c r="B34" s="46" t="s">
        <v>233</v>
      </c>
      <c r="C34" s="48" t="s">
        <v>295</v>
      </c>
    </row>
    <row r="35" spans="1:3" ht="25.95" customHeight="1" x14ac:dyDescent="0.3">
      <c r="A35" s="47">
        <v>32</v>
      </c>
      <c r="B35" s="46" t="s">
        <v>234</v>
      </c>
      <c r="C35" s="48" t="s">
        <v>295</v>
      </c>
    </row>
    <row r="36" spans="1:3" ht="25.95" customHeight="1" x14ac:dyDescent="0.3">
      <c r="A36" s="45">
        <v>33</v>
      </c>
      <c r="B36" s="46" t="s">
        <v>235</v>
      </c>
      <c r="C36" s="49" t="s">
        <v>294</v>
      </c>
    </row>
    <row r="37" spans="1:3" ht="25.95" customHeight="1" x14ac:dyDescent="0.3">
      <c r="A37" s="47">
        <v>34</v>
      </c>
      <c r="B37" s="46" t="s">
        <v>236</v>
      </c>
      <c r="C37" s="48" t="s">
        <v>295</v>
      </c>
    </row>
    <row r="38" spans="1:3" ht="25.95" customHeight="1" x14ac:dyDescent="0.3">
      <c r="A38" s="45">
        <v>35</v>
      </c>
      <c r="B38" s="46" t="s">
        <v>237</v>
      </c>
      <c r="C38" s="49" t="s">
        <v>294</v>
      </c>
    </row>
    <row r="39" spans="1:3" ht="25.95" customHeight="1" x14ac:dyDescent="0.3">
      <c r="A39" s="47">
        <v>36</v>
      </c>
      <c r="B39" s="46" t="s">
        <v>238</v>
      </c>
      <c r="C39" s="48" t="s">
        <v>295</v>
      </c>
    </row>
    <row r="40" spans="1:3" ht="25.95" customHeight="1" x14ac:dyDescent="0.3">
      <c r="A40" s="45">
        <v>37</v>
      </c>
      <c r="B40" s="46" t="s">
        <v>373</v>
      </c>
      <c r="C40" s="48" t="s">
        <v>295</v>
      </c>
    </row>
    <row r="41" spans="1:3" ht="25.95" customHeight="1" x14ac:dyDescent="0.3">
      <c r="A41" s="47">
        <v>38</v>
      </c>
      <c r="B41" s="46" t="s">
        <v>239</v>
      </c>
      <c r="C41" s="48" t="s">
        <v>295</v>
      </c>
    </row>
    <row r="42" spans="1:3" ht="25.95" customHeight="1" x14ac:dyDescent="0.3">
      <c r="A42" s="45">
        <v>39</v>
      </c>
      <c r="B42" s="46" t="s">
        <v>240</v>
      </c>
      <c r="C42" s="48" t="s">
        <v>295</v>
      </c>
    </row>
    <row r="43" spans="1:3" ht="25.95" customHeight="1" x14ac:dyDescent="0.3">
      <c r="A43" s="47" t="s">
        <v>374</v>
      </c>
      <c r="B43" s="46" t="s">
        <v>241</v>
      </c>
      <c r="C43" s="49" t="s">
        <v>294</v>
      </c>
    </row>
    <row r="44" spans="1:3" ht="25.95" customHeight="1" x14ac:dyDescent="0.3">
      <c r="A44" s="45" t="s">
        <v>361</v>
      </c>
      <c r="B44" s="46" t="s">
        <v>242</v>
      </c>
      <c r="C44" s="49" t="s">
        <v>294</v>
      </c>
    </row>
    <row r="45" spans="1:3" ht="25.95" customHeight="1" x14ac:dyDescent="0.3">
      <c r="A45" s="47">
        <v>42</v>
      </c>
      <c r="B45" s="46" t="s">
        <v>243</v>
      </c>
      <c r="C45" s="49" t="s">
        <v>294</v>
      </c>
    </row>
    <row r="46" spans="1:3" ht="25.95" customHeight="1" x14ac:dyDescent="0.3">
      <c r="A46" s="45">
        <v>43</v>
      </c>
      <c r="B46" s="46" t="s">
        <v>244</v>
      </c>
      <c r="C46" s="48" t="s">
        <v>295</v>
      </c>
    </row>
    <row r="47" spans="1:3" ht="25.95" customHeight="1" x14ac:dyDescent="0.3">
      <c r="A47" s="47">
        <v>44</v>
      </c>
      <c r="B47" s="46" t="s">
        <v>245</v>
      </c>
      <c r="C47" s="48" t="s">
        <v>295</v>
      </c>
    </row>
    <row r="48" spans="1:3" ht="25.95" customHeight="1" x14ac:dyDescent="0.3">
      <c r="A48" s="45">
        <v>45</v>
      </c>
      <c r="B48" s="46" t="s">
        <v>246</v>
      </c>
      <c r="C48" s="48" t="s">
        <v>295</v>
      </c>
    </row>
    <row r="49" spans="1:3" ht="25.95" customHeight="1" x14ac:dyDescent="0.3">
      <c r="A49" s="47">
        <v>46</v>
      </c>
      <c r="B49" s="46" t="s">
        <v>247</v>
      </c>
      <c r="C49" s="48" t="s">
        <v>295</v>
      </c>
    </row>
    <row r="50" spans="1:3" ht="25.95" customHeight="1" x14ac:dyDescent="0.3">
      <c r="A50" s="45">
        <v>47</v>
      </c>
      <c r="B50" s="46" t="s">
        <v>248</v>
      </c>
      <c r="C50" s="48" t="s">
        <v>295</v>
      </c>
    </row>
    <row r="51" spans="1:3" ht="25.95" customHeight="1" x14ac:dyDescent="0.3">
      <c r="A51" s="47">
        <v>48</v>
      </c>
      <c r="B51" s="46" t="s">
        <v>249</v>
      </c>
      <c r="C51" s="48" t="s">
        <v>295</v>
      </c>
    </row>
    <row r="52" spans="1:3" ht="25.95" customHeight="1" x14ac:dyDescent="0.3">
      <c r="A52" s="45">
        <v>49</v>
      </c>
      <c r="B52" s="46" t="s">
        <v>250</v>
      </c>
      <c r="C52" s="48" t="s">
        <v>295</v>
      </c>
    </row>
    <row r="53" spans="1:3" ht="25.95" customHeight="1" x14ac:dyDescent="0.3">
      <c r="A53" s="47" t="s">
        <v>375</v>
      </c>
      <c r="B53" s="46" t="s">
        <v>251</v>
      </c>
      <c r="C53" s="48" t="s">
        <v>295</v>
      </c>
    </row>
    <row r="54" spans="1:3" ht="26.4" x14ac:dyDescent="0.3">
      <c r="A54" s="45" t="s">
        <v>362</v>
      </c>
      <c r="B54" s="46" t="s">
        <v>252</v>
      </c>
      <c r="C54" s="49" t="s">
        <v>294</v>
      </c>
    </row>
    <row r="55" spans="1:3" ht="26.4" x14ac:dyDescent="0.3">
      <c r="A55" s="47">
        <v>52</v>
      </c>
      <c r="B55" s="46" t="s">
        <v>253</v>
      </c>
      <c r="C55" s="49" t="s">
        <v>294</v>
      </c>
    </row>
    <row r="56" spans="1:3" ht="26.4" x14ac:dyDescent="0.3">
      <c r="A56" s="45">
        <v>53</v>
      </c>
      <c r="B56" s="46" t="s">
        <v>254</v>
      </c>
      <c r="C56" s="48" t="s">
        <v>295</v>
      </c>
    </row>
    <row r="57" spans="1:3" x14ac:dyDescent="0.3">
      <c r="A57" s="47">
        <v>54</v>
      </c>
      <c r="B57" s="46" t="s">
        <v>255</v>
      </c>
      <c r="C57" s="49" t="s">
        <v>294</v>
      </c>
    </row>
    <row r="58" spans="1:3" ht="26.4" x14ac:dyDescent="0.3">
      <c r="A58" s="45">
        <v>55</v>
      </c>
      <c r="B58" s="46" t="s">
        <v>256</v>
      </c>
      <c r="C58" s="48" t="s">
        <v>295</v>
      </c>
    </row>
    <row r="59" spans="1:3" ht="26.4" x14ac:dyDescent="0.3">
      <c r="A59" s="47">
        <v>56</v>
      </c>
      <c r="B59" s="46" t="s">
        <v>257</v>
      </c>
      <c r="C59" s="48" t="s">
        <v>295</v>
      </c>
    </row>
    <row r="60" spans="1:3" x14ac:dyDescent="0.3">
      <c r="A60" s="45">
        <v>57</v>
      </c>
      <c r="B60" s="46" t="s">
        <v>258</v>
      </c>
      <c r="C60" s="48" t="s">
        <v>295</v>
      </c>
    </row>
    <row r="61" spans="1:3" x14ac:dyDescent="0.3">
      <c r="A61" s="47">
        <v>58</v>
      </c>
      <c r="B61" s="46" t="s">
        <v>259</v>
      </c>
      <c r="C61" s="49" t="s">
        <v>294</v>
      </c>
    </row>
    <row r="62" spans="1:3" x14ac:dyDescent="0.3">
      <c r="A62" s="45">
        <v>59</v>
      </c>
      <c r="B62" s="46" t="s">
        <v>260</v>
      </c>
      <c r="C62" s="49" t="s">
        <v>294</v>
      </c>
    </row>
    <row r="63" spans="1:3" ht="26.4" x14ac:dyDescent="0.3">
      <c r="A63" s="47" t="s">
        <v>376</v>
      </c>
      <c r="B63" s="46" t="s">
        <v>261</v>
      </c>
      <c r="C63" s="48" t="s">
        <v>295</v>
      </c>
    </row>
    <row r="64" spans="1:3" x14ac:dyDescent="0.3">
      <c r="A64" s="45" t="s">
        <v>363</v>
      </c>
      <c r="B64" s="46" t="s">
        <v>262</v>
      </c>
      <c r="C64" s="48" t="s">
        <v>295</v>
      </c>
    </row>
    <row r="65" spans="1:3" x14ac:dyDescent="0.3">
      <c r="A65" s="47">
        <v>62</v>
      </c>
      <c r="B65" s="46" t="s">
        <v>263</v>
      </c>
      <c r="C65" s="48" t="s">
        <v>295</v>
      </c>
    </row>
    <row r="66" spans="1:3" ht="26.4" x14ac:dyDescent="0.3">
      <c r="A66" s="45">
        <v>63</v>
      </c>
      <c r="B66" s="46" t="s">
        <v>377</v>
      </c>
      <c r="C66" s="49" t="s">
        <v>294</v>
      </c>
    </row>
    <row r="67" spans="1:3" ht="26.4" x14ac:dyDescent="0.3">
      <c r="A67" s="47">
        <v>64</v>
      </c>
      <c r="B67" s="46" t="s">
        <v>264</v>
      </c>
      <c r="C67" s="48" t="s">
        <v>295</v>
      </c>
    </row>
    <row r="68" spans="1:3" ht="26.4" x14ac:dyDescent="0.3">
      <c r="A68" s="45">
        <v>65</v>
      </c>
      <c r="B68" s="46" t="s">
        <v>265</v>
      </c>
      <c r="C68" s="48" t="s">
        <v>295</v>
      </c>
    </row>
    <row r="69" spans="1:3" ht="26.4" x14ac:dyDescent="0.3">
      <c r="A69" s="47">
        <v>66</v>
      </c>
      <c r="B69" s="46" t="s">
        <v>266</v>
      </c>
      <c r="C69" s="48" t="s">
        <v>295</v>
      </c>
    </row>
    <row r="70" spans="1:3" ht="26.4" x14ac:dyDescent="0.3">
      <c r="A70" s="45">
        <v>67</v>
      </c>
      <c r="B70" s="46" t="s">
        <v>267</v>
      </c>
      <c r="C70" s="48" t="s">
        <v>295</v>
      </c>
    </row>
    <row r="71" spans="1:3" ht="26.4" x14ac:dyDescent="0.3">
      <c r="A71" s="47">
        <v>68</v>
      </c>
      <c r="B71" s="46" t="s">
        <v>268</v>
      </c>
      <c r="C71" s="48" t="s">
        <v>295</v>
      </c>
    </row>
    <row r="72" spans="1:3" ht="26.4" x14ac:dyDescent="0.3">
      <c r="A72" s="45">
        <v>69</v>
      </c>
      <c r="B72" s="46" t="s">
        <v>269</v>
      </c>
      <c r="C72" s="48" t="s">
        <v>295</v>
      </c>
    </row>
    <row r="73" spans="1:3" x14ac:dyDescent="0.3">
      <c r="A73" s="47" t="s">
        <v>378</v>
      </c>
      <c r="B73" s="46" t="s">
        <v>270</v>
      </c>
      <c r="C73" s="49" t="s">
        <v>294</v>
      </c>
    </row>
    <row r="74" spans="1:3" x14ac:dyDescent="0.3">
      <c r="A74" s="45" t="s">
        <v>364</v>
      </c>
      <c r="B74" s="46" t="s">
        <v>271</v>
      </c>
      <c r="C74" s="49" t="s">
        <v>294</v>
      </c>
    </row>
    <row r="75" spans="1:3" ht="26.4" x14ac:dyDescent="0.3">
      <c r="A75" s="47">
        <v>72</v>
      </c>
      <c r="B75" s="46" t="s">
        <v>272</v>
      </c>
      <c r="C75" s="49" t="s">
        <v>294</v>
      </c>
    </row>
    <row r="76" spans="1:3" ht="26.4" x14ac:dyDescent="0.3">
      <c r="A76" s="45">
        <v>73</v>
      </c>
      <c r="B76" s="46" t="s">
        <v>273</v>
      </c>
      <c r="C76" s="48" t="s">
        <v>295</v>
      </c>
    </row>
    <row r="77" spans="1:3" x14ac:dyDescent="0.3">
      <c r="A77" s="47">
        <v>74</v>
      </c>
      <c r="B77" s="46" t="s">
        <v>274</v>
      </c>
      <c r="C77" s="48" t="s">
        <v>295</v>
      </c>
    </row>
    <row r="78" spans="1:3" ht="26.4" x14ac:dyDescent="0.3">
      <c r="A78" s="45">
        <v>75</v>
      </c>
      <c r="B78" s="46" t="s">
        <v>275</v>
      </c>
      <c r="C78" s="49" t="s">
        <v>294</v>
      </c>
    </row>
    <row r="79" spans="1:3" ht="26.4" x14ac:dyDescent="0.3">
      <c r="A79" s="47">
        <v>76</v>
      </c>
      <c r="B79" s="46" t="s">
        <v>276</v>
      </c>
      <c r="C79" s="48" t="s">
        <v>295</v>
      </c>
    </row>
    <row r="80" spans="1:3" ht="26.4" x14ac:dyDescent="0.3">
      <c r="A80" s="45">
        <v>77</v>
      </c>
      <c r="B80" s="46" t="s">
        <v>277</v>
      </c>
      <c r="C80" s="48" t="s">
        <v>295</v>
      </c>
    </row>
    <row r="81" spans="1:3" ht="26.4" x14ac:dyDescent="0.3">
      <c r="A81" s="47">
        <v>78</v>
      </c>
      <c r="B81" s="46" t="s">
        <v>278</v>
      </c>
      <c r="C81" s="49" t="s">
        <v>294</v>
      </c>
    </row>
    <row r="82" spans="1:3" x14ac:dyDescent="0.3">
      <c r="A82" s="45">
        <v>79</v>
      </c>
      <c r="B82" s="46" t="s">
        <v>279</v>
      </c>
      <c r="C82" s="49" t="s">
        <v>294</v>
      </c>
    </row>
    <row r="83" spans="1:3" ht="26.4" x14ac:dyDescent="0.3">
      <c r="A83" s="47" t="s">
        <v>379</v>
      </c>
      <c r="B83" s="46" t="s">
        <v>280</v>
      </c>
      <c r="C83" s="48" t="s">
        <v>295</v>
      </c>
    </row>
    <row r="84" spans="1:3" ht="26.4" x14ac:dyDescent="0.3">
      <c r="A84" s="45" t="s">
        <v>365</v>
      </c>
      <c r="B84" s="46" t="s">
        <v>281</v>
      </c>
      <c r="C84" s="48" t="s">
        <v>295</v>
      </c>
    </row>
    <row r="85" spans="1:3" ht="26.4" x14ac:dyDescent="0.3">
      <c r="A85" s="47">
        <v>82</v>
      </c>
      <c r="B85" s="46" t="s">
        <v>282</v>
      </c>
      <c r="C85" s="48" t="s">
        <v>295</v>
      </c>
    </row>
    <row r="86" spans="1:3" ht="26.4" x14ac:dyDescent="0.3">
      <c r="A86" s="45">
        <v>83</v>
      </c>
      <c r="B86" s="46" t="s">
        <v>283</v>
      </c>
      <c r="C86" s="48" t="s">
        <v>295</v>
      </c>
    </row>
    <row r="87" spans="1:3" ht="26.4" x14ac:dyDescent="0.3">
      <c r="A87" s="47">
        <v>84</v>
      </c>
      <c r="B87" s="46" t="s">
        <v>380</v>
      </c>
      <c r="C87" s="49" t="s">
        <v>294</v>
      </c>
    </row>
    <row r="88" spans="1:3" ht="26.4" x14ac:dyDescent="0.3">
      <c r="A88" s="45">
        <v>85</v>
      </c>
      <c r="B88" s="46" t="s">
        <v>381</v>
      </c>
      <c r="C88" s="48" t="s">
        <v>295</v>
      </c>
    </row>
    <row r="89" spans="1:3" x14ac:dyDescent="0.3">
      <c r="A89" s="47">
        <v>86</v>
      </c>
      <c r="B89" s="46" t="s">
        <v>285</v>
      </c>
      <c r="C89" s="48" t="s">
        <v>295</v>
      </c>
    </row>
    <row r="90" spans="1:3" x14ac:dyDescent="0.3">
      <c r="A90" s="45">
        <v>87</v>
      </c>
      <c r="B90" s="46" t="s">
        <v>286</v>
      </c>
      <c r="C90" s="49" t="s">
        <v>294</v>
      </c>
    </row>
    <row r="91" spans="1:3" ht="26.4" x14ac:dyDescent="0.3">
      <c r="A91" s="47">
        <v>88</v>
      </c>
      <c r="B91" s="46" t="s">
        <v>287</v>
      </c>
      <c r="C91" s="49" t="s">
        <v>294</v>
      </c>
    </row>
    <row r="92" spans="1:3" ht="26.4" x14ac:dyDescent="0.3">
      <c r="A92" s="45">
        <v>89</v>
      </c>
      <c r="B92" s="46" t="s">
        <v>288</v>
      </c>
      <c r="C92" s="48" t="s">
        <v>295</v>
      </c>
    </row>
    <row r="93" spans="1:3" x14ac:dyDescent="0.3">
      <c r="A93" s="47" t="s">
        <v>382</v>
      </c>
      <c r="B93" s="46" t="s">
        <v>289</v>
      </c>
      <c r="C93" s="48" t="s">
        <v>295</v>
      </c>
    </row>
    <row r="94" spans="1:3" ht="26.4" x14ac:dyDescent="0.3">
      <c r="A94" s="45" t="s">
        <v>366</v>
      </c>
      <c r="B94" s="46" t="s">
        <v>290</v>
      </c>
      <c r="C94" s="48" t="s">
        <v>295</v>
      </c>
    </row>
    <row r="95" spans="1:3" ht="26.4" x14ac:dyDescent="0.3">
      <c r="A95" s="47">
        <v>92</v>
      </c>
      <c r="B95" s="46" t="s">
        <v>383</v>
      </c>
      <c r="C95" s="48" t="s">
        <v>295</v>
      </c>
    </row>
    <row r="96" spans="1:3" x14ac:dyDescent="0.3">
      <c r="A96" s="45">
        <v>93</v>
      </c>
      <c r="B96" s="46" t="s">
        <v>291</v>
      </c>
      <c r="C96" s="48" t="s">
        <v>295</v>
      </c>
    </row>
    <row r="97" spans="1:3" x14ac:dyDescent="0.3">
      <c r="A97" s="47">
        <v>94</v>
      </c>
      <c r="B97" s="46" t="s">
        <v>292</v>
      </c>
      <c r="C97" s="49" t="s">
        <v>294</v>
      </c>
    </row>
    <row r="98" spans="1:3" x14ac:dyDescent="0.3">
      <c r="A98" s="45">
        <v>95</v>
      </c>
      <c r="B98" s="46" t="s">
        <v>293</v>
      </c>
      <c r="C98" s="48" t="s">
        <v>295</v>
      </c>
    </row>
    <row r="99" spans="1:3" x14ac:dyDescent="0.3">
      <c r="A99" s="68" t="s">
        <v>296</v>
      </c>
      <c r="B99" s="68"/>
      <c r="C99" s="50">
        <f>COUNTIF(C4:C98,"NO")</f>
        <v>67</v>
      </c>
    </row>
    <row r="100" spans="1:3" x14ac:dyDescent="0.3">
      <c r="A100" s="72" t="s">
        <v>297</v>
      </c>
      <c r="B100" s="63"/>
      <c r="C100" s="63"/>
    </row>
    <row r="101" spans="1:3" ht="26.4" x14ac:dyDescent="0.3">
      <c r="A101" s="51" t="s">
        <v>117</v>
      </c>
      <c r="B101" s="51" t="s">
        <v>119</v>
      </c>
      <c r="C101" s="51" t="s">
        <v>320</v>
      </c>
    </row>
    <row r="102" spans="1:3" ht="38.4" customHeight="1" x14ac:dyDescent="0.3">
      <c r="A102" s="45" t="s">
        <v>295</v>
      </c>
      <c r="B102" s="52" t="s">
        <v>298</v>
      </c>
      <c r="C102" s="48" t="s">
        <v>295</v>
      </c>
    </row>
    <row r="103" spans="1:3" x14ac:dyDescent="0.3">
      <c r="A103" s="68" t="s">
        <v>367</v>
      </c>
      <c r="B103" s="68"/>
      <c r="C103" s="50">
        <f>COUNTIF(CNO2,"NO")</f>
        <v>0</v>
      </c>
    </row>
    <row r="104" spans="1:3" x14ac:dyDescent="0.3">
      <c r="A104" s="72" t="s">
        <v>300</v>
      </c>
      <c r="B104" s="63"/>
      <c r="C104" s="63"/>
    </row>
    <row r="105" spans="1:3" ht="26.4" x14ac:dyDescent="0.3">
      <c r="A105" s="51" t="s">
        <v>117</v>
      </c>
      <c r="B105" s="51" t="s">
        <v>119</v>
      </c>
      <c r="C105" s="51" t="s">
        <v>320</v>
      </c>
    </row>
    <row r="106" spans="1:3" ht="26.4" x14ac:dyDescent="0.3">
      <c r="A106" s="45" t="s">
        <v>295</v>
      </c>
      <c r="B106" s="46" t="s">
        <v>301</v>
      </c>
      <c r="C106" s="48" t="s">
        <v>295</v>
      </c>
    </row>
    <row r="107" spans="1:3" x14ac:dyDescent="0.3">
      <c r="A107" s="47">
        <v>2</v>
      </c>
      <c r="B107" s="46" t="s">
        <v>302</v>
      </c>
      <c r="C107" s="48" t="s">
        <v>295</v>
      </c>
    </row>
    <row r="108" spans="1:3" x14ac:dyDescent="0.3">
      <c r="A108" s="45">
        <v>3</v>
      </c>
      <c r="B108" s="46" t="s">
        <v>209</v>
      </c>
      <c r="C108" s="49" t="s">
        <v>294</v>
      </c>
    </row>
    <row r="109" spans="1:3" x14ac:dyDescent="0.3">
      <c r="A109" s="47">
        <v>4</v>
      </c>
      <c r="B109" s="46" t="s">
        <v>303</v>
      </c>
      <c r="C109" s="48" t="s">
        <v>295</v>
      </c>
    </row>
    <row r="110" spans="1:3" x14ac:dyDescent="0.3">
      <c r="A110" s="45">
        <v>5</v>
      </c>
      <c r="B110" s="46" t="s">
        <v>216</v>
      </c>
      <c r="C110" s="48" t="s">
        <v>295</v>
      </c>
    </row>
    <row r="111" spans="1:3" ht="26.4" x14ac:dyDescent="0.3">
      <c r="A111" s="47">
        <v>6</v>
      </c>
      <c r="B111" s="46" t="s">
        <v>304</v>
      </c>
      <c r="C111" s="48" t="s">
        <v>295</v>
      </c>
    </row>
    <row r="112" spans="1:3" ht="26.4" x14ac:dyDescent="0.3">
      <c r="A112" s="45">
        <v>7</v>
      </c>
      <c r="B112" s="46" t="s">
        <v>233</v>
      </c>
      <c r="C112" s="48" t="s">
        <v>295</v>
      </c>
    </row>
    <row r="113" spans="1:3" ht="26.4" x14ac:dyDescent="0.3">
      <c r="A113" s="47">
        <v>8</v>
      </c>
      <c r="B113" s="46" t="s">
        <v>234</v>
      </c>
      <c r="C113" s="48" t="s">
        <v>295</v>
      </c>
    </row>
    <row r="114" spans="1:3" ht="26.4" x14ac:dyDescent="0.3">
      <c r="A114" s="45">
        <v>9</v>
      </c>
      <c r="B114" s="46" t="s">
        <v>238</v>
      </c>
      <c r="C114" s="48" t="s">
        <v>295</v>
      </c>
    </row>
    <row r="115" spans="1:3" ht="26.4" x14ac:dyDescent="0.3">
      <c r="A115" s="47" t="s">
        <v>369</v>
      </c>
      <c r="B115" s="46" t="s">
        <v>305</v>
      </c>
      <c r="C115" s="48" t="s">
        <v>295</v>
      </c>
    </row>
    <row r="116" spans="1:3" x14ac:dyDescent="0.3">
      <c r="A116" s="45" t="s">
        <v>350</v>
      </c>
      <c r="B116" s="46" t="s">
        <v>242</v>
      </c>
      <c r="C116" s="49" t="s">
        <v>294</v>
      </c>
    </row>
    <row r="117" spans="1:3" x14ac:dyDescent="0.3">
      <c r="A117" s="47" t="s">
        <v>351</v>
      </c>
      <c r="B117" s="46" t="s">
        <v>306</v>
      </c>
      <c r="C117" s="48" t="s">
        <v>295</v>
      </c>
    </row>
    <row r="118" spans="1:3" ht="26.4" x14ac:dyDescent="0.3">
      <c r="A118" s="45" t="s">
        <v>352</v>
      </c>
      <c r="B118" s="46" t="s">
        <v>253</v>
      </c>
      <c r="C118" s="49" t="s">
        <v>294</v>
      </c>
    </row>
    <row r="119" spans="1:3" x14ac:dyDescent="0.3">
      <c r="A119" s="47" t="s">
        <v>353</v>
      </c>
      <c r="B119" s="46" t="s">
        <v>307</v>
      </c>
      <c r="C119" s="48" t="s">
        <v>295</v>
      </c>
    </row>
    <row r="120" spans="1:3" ht="26.4" x14ac:dyDescent="0.3">
      <c r="A120" s="45" t="s">
        <v>354</v>
      </c>
      <c r="B120" s="46" t="s">
        <v>268</v>
      </c>
      <c r="C120" s="48" t="s">
        <v>295</v>
      </c>
    </row>
    <row r="121" spans="1:3" x14ac:dyDescent="0.3">
      <c r="A121" s="47" t="s">
        <v>355</v>
      </c>
      <c r="B121" s="46" t="s">
        <v>270</v>
      </c>
      <c r="C121" s="49" t="s">
        <v>294</v>
      </c>
    </row>
    <row r="122" spans="1:3" x14ac:dyDescent="0.3">
      <c r="A122" s="45" t="s">
        <v>356</v>
      </c>
      <c r="B122" s="46" t="s">
        <v>274</v>
      </c>
      <c r="C122" s="48" t="s">
        <v>295</v>
      </c>
    </row>
    <row r="123" spans="1:3" ht="26.4" x14ac:dyDescent="0.3">
      <c r="A123" s="47" t="s">
        <v>357</v>
      </c>
      <c r="B123" s="46" t="s">
        <v>308</v>
      </c>
      <c r="C123" s="49" t="s">
        <v>294</v>
      </c>
    </row>
    <row r="124" spans="1:3" x14ac:dyDescent="0.3">
      <c r="A124" s="45" t="s">
        <v>358</v>
      </c>
      <c r="B124" s="46" t="s">
        <v>279</v>
      </c>
      <c r="C124" s="49" t="s">
        <v>294</v>
      </c>
    </row>
    <row r="125" spans="1:3" ht="26.4" x14ac:dyDescent="0.3">
      <c r="A125" s="47" t="s">
        <v>371</v>
      </c>
      <c r="B125" s="46" t="s">
        <v>309</v>
      </c>
      <c r="C125" s="48" t="s">
        <v>295</v>
      </c>
    </row>
    <row r="126" spans="1:3" ht="26.4" x14ac:dyDescent="0.3">
      <c r="A126" s="45" t="s">
        <v>359</v>
      </c>
      <c r="B126" s="46" t="s">
        <v>381</v>
      </c>
      <c r="C126" s="48" t="s">
        <v>295</v>
      </c>
    </row>
    <row r="127" spans="1:3" x14ac:dyDescent="0.3">
      <c r="A127" s="47">
        <v>22</v>
      </c>
      <c r="B127" s="46" t="s">
        <v>310</v>
      </c>
      <c r="C127" s="48" t="s">
        <v>295</v>
      </c>
    </row>
    <row r="128" spans="1:3" x14ac:dyDescent="0.3">
      <c r="A128" s="45">
        <v>23</v>
      </c>
      <c r="B128" s="46" t="s">
        <v>293</v>
      </c>
      <c r="C128" s="48" t="s">
        <v>295</v>
      </c>
    </row>
    <row r="129" spans="1:3" x14ac:dyDescent="0.3">
      <c r="A129" s="68" t="s">
        <v>311</v>
      </c>
      <c r="B129" s="68"/>
      <c r="C129" s="50">
        <f>COUNTIF(CNO6:CNO28,"NO")</f>
        <v>0</v>
      </c>
    </row>
    <row r="130" spans="1:3" x14ac:dyDescent="0.3">
      <c r="A130" s="70" t="s">
        <v>300</v>
      </c>
      <c r="B130" s="71"/>
      <c r="C130" s="71"/>
    </row>
    <row r="131" spans="1:3" ht="26.4" x14ac:dyDescent="0.3">
      <c r="A131" s="51" t="s">
        <v>117</v>
      </c>
      <c r="B131" s="51" t="s">
        <v>119</v>
      </c>
      <c r="C131" s="51" t="s">
        <v>320</v>
      </c>
    </row>
    <row r="132" spans="1:3" x14ac:dyDescent="0.3">
      <c r="A132" s="45" t="s">
        <v>295</v>
      </c>
      <c r="B132" s="46" t="s">
        <v>312</v>
      </c>
      <c r="C132" s="49" t="s">
        <v>294</v>
      </c>
    </row>
    <row r="133" spans="1:3" x14ac:dyDescent="0.3">
      <c r="A133" s="47">
        <v>2</v>
      </c>
      <c r="B133" s="46" t="s">
        <v>313</v>
      </c>
      <c r="C133" s="48" t="s">
        <v>295</v>
      </c>
    </row>
    <row r="134" spans="1:3" x14ac:dyDescent="0.3">
      <c r="A134" s="45">
        <v>3</v>
      </c>
      <c r="B134" s="46" t="s">
        <v>314</v>
      </c>
      <c r="C134" s="49" t="s">
        <v>294</v>
      </c>
    </row>
    <row r="135" spans="1:3" ht="26.4" x14ac:dyDescent="0.3">
      <c r="A135" s="47">
        <v>4</v>
      </c>
      <c r="B135" s="46" t="s">
        <v>315</v>
      </c>
      <c r="C135" s="49" t="s">
        <v>294</v>
      </c>
    </row>
    <row r="136" spans="1:3" ht="26.4" x14ac:dyDescent="0.3">
      <c r="A136" s="45">
        <v>5</v>
      </c>
      <c r="B136" s="46" t="s">
        <v>316</v>
      </c>
      <c r="C136" s="49" t="s">
        <v>294</v>
      </c>
    </row>
    <row r="137" spans="1:3" x14ac:dyDescent="0.3">
      <c r="A137" s="47">
        <v>6</v>
      </c>
      <c r="B137" s="46" t="s">
        <v>317</v>
      </c>
      <c r="C137" s="49" t="s">
        <v>294</v>
      </c>
    </row>
    <row r="138" spans="1:3" x14ac:dyDescent="0.3">
      <c r="A138" s="68" t="s">
        <v>318</v>
      </c>
      <c r="B138" s="68"/>
      <c r="C138" s="50">
        <f>COUNTIF(CNO32:CNO37,"NO")</f>
        <v>0</v>
      </c>
    </row>
  </sheetData>
  <mergeCells count="9">
    <mergeCell ref="A129:B129"/>
    <mergeCell ref="A130:C130"/>
    <mergeCell ref="A138:B138"/>
    <mergeCell ref="A2:C2"/>
    <mergeCell ref="A1:C1"/>
    <mergeCell ref="A99:B99"/>
    <mergeCell ref="A100:C100"/>
    <mergeCell ref="A103:B103"/>
    <mergeCell ref="A104:C104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C60"/>
  <sheetViews>
    <sheetView topLeftCell="A13" workbookViewId="0">
      <selection activeCell="A59" sqref="A59:B60"/>
    </sheetView>
  </sheetViews>
  <sheetFormatPr defaultRowHeight="14.4" x14ac:dyDescent="0.3"/>
  <cols>
    <col min="1" max="1" width="5" customWidth="1"/>
    <col min="2" max="2" width="58" customWidth="1"/>
    <col min="3" max="3" width="14" customWidth="1"/>
  </cols>
  <sheetData>
    <row r="1" spans="1:3" ht="28.05" customHeight="1" x14ac:dyDescent="0.3">
      <c r="A1" s="76" t="s">
        <v>349</v>
      </c>
      <c r="B1" s="63"/>
      <c r="C1" s="63"/>
    </row>
    <row r="2" spans="1:3" ht="30" customHeight="1" x14ac:dyDescent="0.3">
      <c r="A2" s="70" t="s">
        <v>344</v>
      </c>
      <c r="B2" s="71"/>
      <c r="C2" s="71"/>
    </row>
    <row r="3" spans="1:3" ht="25.95" customHeight="1" x14ac:dyDescent="0.3">
      <c r="A3" s="37" t="s">
        <v>117</v>
      </c>
      <c r="B3" s="37" t="s">
        <v>119</v>
      </c>
      <c r="C3" s="59" t="s">
        <v>320</v>
      </c>
    </row>
    <row r="4" spans="1:3" ht="25.95" customHeight="1" x14ac:dyDescent="0.3">
      <c r="A4" s="10">
        <v>1</v>
      </c>
      <c r="B4" s="46" t="s">
        <v>322</v>
      </c>
      <c r="C4" s="48" t="s">
        <v>295</v>
      </c>
    </row>
    <row r="5" spans="1:3" ht="25.95" customHeight="1" x14ac:dyDescent="0.3">
      <c r="A5" s="12">
        <v>2</v>
      </c>
      <c r="B5" s="56" t="s">
        <v>323</v>
      </c>
      <c r="C5" s="48" t="s">
        <v>295</v>
      </c>
    </row>
    <row r="6" spans="1:3" ht="25.95" customHeight="1" x14ac:dyDescent="0.3">
      <c r="A6" s="75" t="s">
        <v>319</v>
      </c>
      <c r="B6" s="75"/>
      <c r="C6" s="55">
        <f>COUNTIF(C4:C5,"YES")</f>
        <v>0</v>
      </c>
    </row>
    <row r="7" spans="1:3" ht="25.95" customHeight="1" x14ac:dyDescent="0.3">
      <c r="A7" s="70" t="s">
        <v>345</v>
      </c>
      <c r="B7" s="71"/>
      <c r="C7" s="71"/>
    </row>
    <row r="8" spans="1:3" ht="25.95" customHeight="1" x14ac:dyDescent="0.3">
      <c r="A8" s="60" t="s">
        <v>117</v>
      </c>
      <c r="B8" s="60" t="s">
        <v>119</v>
      </c>
      <c r="C8" s="60" t="s">
        <v>320</v>
      </c>
    </row>
    <row r="9" spans="1:3" ht="25.95" customHeight="1" x14ac:dyDescent="0.3">
      <c r="A9" s="12">
        <v>1</v>
      </c>
      <c r="B9" s="46" t="s">
        <v>301</v>
      </c>
      <c r="C9" s="48" t="s">
        <v>295</v>
      </c>
    </row>
    <row r="10" spans="1:3" ht="25.95" customHeight="1" x14ac:dyDescent="0.3">
      <c r="A10" s="10">
        <v>2</v>
      </c>
      <c r="B10" s="56" t="s">
        <v>302</v>
      </c>
      <c r="C10" s="48" t="s">
        <v>295</v>
      </c>
    </row>
    <row r="11" spans="1:3" ht="25.95" customHeight="1" x14ac:dyDescent="0.3">
      <c r="A11" s="12">
        <v>3</v>
      </c>
      <c r="B11" s="46" t="s">
        <v>209</v>
      </c>
      <c r="C11" s="48" t="s">
        <v>295</v>
      </c>
    </row>
    <row r="12" spans="1:3" ht="25.95" customHeight="1" x14ac:dyDescent="0.3">
      <c r="A12" s="10">
        <v>4</v>
      </c>
      <c r="B12" s="56" t="s">
        <v>213</v>
      </c>
      <c r="C12" s="48" t="s">
        <v>295</v>
      </c>
    </row>
    <row r="13" spans="1:3" ht="25.95" customHeight="1" x14ac:dyDescent="0.3">
      <c r="A13" s="12">
        <v>5</v>
      </c>
      <c r="B13" s="46" t="s">
        <v>324</v>
      </c>
      <c r="C13" s="48" t="s">
        <v>295</v>
      </c>
    </row>
    <row r="14" spans="1:3" ht="25.95" customHeight="1" x14ac:dyDescent="0.3">
      <c r="A14" s="10">
        <v>6</v>
      </c>
      <c r="B14" s="56" t="s">
        <v>304</v>
      </c>
      <c r="C14" s="48" t="s">
        <v>295</v>
      </c>
    </row>
    <row r="15" spans="1:3" ht="25.95" customHeight="1" x14ac:dyDescent="0.3">
      <c r="A15" s="12">
        <v>7</v>
      </c>
      <c r="B15" s="46" t="s">
        <v>234</v>
      </c>
      <c r="C15" s="48" t="s">
        <v>295</v>
      </c>
    </row>
    <row r="16" spans="1:3" ht="25.95" customHeight="1" x14ac:dyDescent="0.3">
      <c r="A16" s="10">
        <v>8</v>
      </c>
      <c r="B16" s="56" t="s">
        <v>305</v>
      </c>
      <c r="C16" s="48" t="s">
        <v>295</v>
      </c>
    </row>
    <row r="17" spans="1:3" ht="25.95" customHeight="1" x14ac:dyDescent="0.3">
      <c r="A17" s="12">
        <v>9</v>
      </c>
      <c r="B17" s="46" t="s">
        <v>242</v>
      </c>
      <c r="C17" s="48" t="s">
        <v>295</v>
      </c>
    </row>
    <row r="18" spans="1:3" ht="25.95" customHeight="1" x14ac:dyDescent="0.3">
      <c r="A18" s="10">
        <v>10</v>
      </c>
      <c r="B18" s="56" t="s">
        <v>246</v>
      </c>
      <c r="C18" s="48" t="s">
        <v>295</v>
      </c>
    </row>
    <row r="19" spans="1:3" ht="25.95" customHeight="1" x14ac:dyDescent="0.3">
      <c r="A19" s="12">
        <v>11</v>
      </c>
      <c r="B19" s="46" t="s">
        <v>253</v>
      </c>
      <c r="C19" s="48" t="s">
        <v>295</v>
      </c>
    </row>
    <row r="20" spans="1:3" ht="25.95" customHeight="1" x14ac:dyDescent="0.3">
      <c r="A20" s="10">
        <v>12</v>
      </c>
      <c r="B20" s="56" t="s">
        <v>307</v>
      </c>
      <c r="C20" s="48" t="s">
        <v>295</v>
      </c>
    </row>
    <row r="21" spans="1:3" ht="25.95" customHeight="1" x14ac:dyDescent="0.3">
      <c r="A21" s="12">
        <v>13</v>
      </c>
      <c r="B21" s="46" t="s">
        <v>268</v>
      </c>
      <c r="C21" s="48" t="s">
        <v>295</v>
      </c>
    </row>
    <row r="22" spans="1:3" ht="25.95" customHeight="1" x14ac:dyDescent="0.3">
      <c r="A22" s="10">
        <v>14</v>
      </c>
      <c r="B22" s="56" t="s">
        <v>270</v>
      </c>
      <c r="C22" s="48" t="s">
        <v>295</v>
      </c>
    </row>
    <row r="23" spans="1:3" ht="25.95" customHeight="1" x14ac:dyDescent="0.3">
      <c r="A23" s="12">
        <v>15</v>
      </c>
      <c r="B23" s="46" t="s">
        <v>233</v>
      </c>
      <c r="C23" s="48" t="s">
        <v>295</v>
      </c>
    </row>
    <row r="24" spans="1:3" ht="25.95" customHeight="1" x14ac:dyDescent="0.3">
      <c r="A24" s="10">
        <v>16</v>
      </c>
      <c r="B24" s="56" t="s">
        <v>274</v>
      </c>
      <c r="C24" s="48" t="s">
        <v>295</v>
      </c>
    </row>
    <row r="25" spans="1:3" ht="25.95" customHeight="1" x14ac:dyDescent="0.3">
      <c r="A25" s="12">
        <v>17</v>
      </c>
      <c r="B25" s="46" t="s">
        <v>308</v>
      </c>
      <c r="C25" s="48" t="s">
        <v>295</v>
      </c>
    </row>
    <row r="26" spans="1:3" ht="25.95" customHeight="1" x14ac:dyDescent="0.3">
      <c r="A26" s="10">
        <v>18</v>
      </c>
      <c r="B26" s="56" t="s">
        <v>279</v>
      </c>
      <c r="C26" s="48" t="s">
        <v>295</v>
      </c>
    </row>
    <row r="27" spans="1:3" ht="25.95" customHeight="1" x14ac:dyDescent="0.3">
      <c r="A27" s="12">
        <v>19</v>
      </c>
      <c r="B27" s="46" t="s">
        <v>309</v>
      </c>
      <c r="C27" s="48" t="s">
        <v>295</v>
      </c>
    </row>
    <row r="28" spans="1:3" ht="25.95" customHeight="1" x14ac:dyDescent="0.3">
      <c r="A28" s="12">
        <v>20</v>
      </c>
      <c r="B28" s="56" t="s">
        <v>325</v>
      </c>
      <c r="C28" s="48" t="s">
        <v>295</v>
      </c>
    </row>
    <row r="29" spans="1:3" ht="25.95" customHeight="1" x14ac:dyDescent="0.3">
      <c r="A29" s="10">
        <v>21</v>
      </c>
      <c r="B29" s="46" t="s">
        <v>284</v>
      </c>
      <c r="C29" s="48" t="s">
        <v>295</v>
      </c>
    </row>
    <row r="30" spans="1:3" ht="25.95" customHeight="1" x14ac:dyDescent="0.3">
      <c r="A30" s="12">
        <v>22</v>
      </c>
      <c r="B30" s="56" t="s">
        <v>326</v>
      </c>
      <c r="C30" s="48" t="s">
        <v>295</v>
      </c>
    </row>
    <row r="31" spans="1:3" ht="25.95" customHeight="1" x14ac:dyDescent="0.3">
      <c r="A31" s="10">
        <v>23</v>
      </c>
      <c r="B31" s="46" t="s">
        <v>238</v>
      </c>
      <c r="C31" s="48" t="s">
        <v>295</v>
      </c>
    </row>
    <row r="32" spans="1:3" ht="25.95" customHeight="1" x14ac:dyDescent="0.3">
      <c r="A32" s="12">
        <v>24</v>
      </c>
      <c r="B32" s="56" t="s">
        <v>293</v>
      </c>
      <c r="C32" s="48" t="s">
        <v>295</v>
      </c>
    </row>
    <row r="33" spans="1:3" ht="25.95" customHeight="1" x14ac:dyDescent="0.3">
      <c r="A33" s="75" t="s">
        <v>343</v>
      </c>
      <c r="B33" s="75"/>
      <c r="C33" s="55">
        <f>COUNTIF(C9:C32,"YES")</f>
        <v>0</v>
      </c>
    </row>
    <row r="34" spans="1:3" ht="25.95" customHeight="1" x14ac:dyDescent="0.3">
      <c r="A34" s="70" t="s">
        <v>346</v>
      </c>
      <c r="B34" s="71"/>
      <c r="C34" s="71"/>
    </row>
    <row r="35" spans="1:3" ht="25.95" customHeight="1" x14ac:dyDescent="0.3">
      <c r="A35" s="60" t="s">
        <v>117</v>
      </c>
      <c r="B35" s="60" t="s">
        <v>119</v>
      </c>
      <c r="C35" s="60" t="s">
        <v>320</v>
      </c>
    </row>
    <row r="36" spans="1:3" ht="25.95" customHeight="1" x14ac:dyDescent="0.3">
      <c r="A36" s="10">
        <v>1</v>
      </c>
      <c r="B36" s="57" t="s">
        <v>315</v>
      </c>
      <c r="C36" s="58" t="s">
        <v>294</v>
      </c>
    </row>
    <row r="37" spans="1:3" ht="25.95" customHeight="1" x14ac:dyDescent="0.3">
      <c r="A37" s="75" t="s">
        <v>299</v>
      </c>
      <c r="B37" s="75"/>
      <c r="C37" s="55">
        <f>COUNTIF(C36,"YES")</f>
        <v>1</v>
      </c>
    </row>
    <row r="38" spans="1:3" ht="25.95" customHeight="1" x14ac:dyDescent="0.3">
      <c r="A38" s="70" t="s">
        <v>347</v>
      </c>
      <c r="B38" s="71"/>
      <c r="C38" s="71"/>
    </row>
    <row r="39" spans="1:3" ht="25.95" customHeight="1" x14ac:dyDescent="0.3">
      <c r="A39" s="60" t="s">
        <v>117</v>
      </c>
      <c r="B39" s="60" t="s">
        <v>119</v>
      </c>
      <c r="C39" s="60" t="s">
        <v>320</v>
      </c>
    </row>
    <row r="40" spans="1:3" ht="25.95" customHeight="1" x14ac:dyDescent="0.3">
      <c r="A40" s="10">
        <v>1</v>
      </c>
      <c r="B40" s="57" t="s">
        <v>327</v>
      </c>
      <c r="C40" s="58" t="s">
        <v>294</v>
      </c>
    </row>
    <row r="41" spans="1:3" ht="25.95" customHeight="1" x14ac:dyDescent="0.3">
      <c r="A41" s="12">
        <v>2</v>
      </c>
      <c r="B41" s="57" t="s">
        <v>328</v>
      </c>
      <c r="C41" s="58" t="s">
        <v>294</v>
      </c>
    </row>
    <row r="42" spans="1:3" ht="25.95" customHeight="1" x14ac:dyDescent="0.3">
      <c r="A42" s="75" t="s">
        <v>319</v>
      </c>
      <c r="B42" s="75"/>
      <c r="C42" s="55">
        <f>COUNTIF(C40:C41,"YES")</f>
        <v>2</v>
      </c>
    </row>
    <row r="43" spans="1:3" ht="25.95" customHeight="1" x14ac:dyDescent="0.3">
      <c r="A43" s="70" t="s">
        <v>321</v>
      </c>
      <c r="B43" s="71"/>
      <c r="C43" s="71"/>
    </row>
    <row r="44" spans="1:3" ht="25.95" customHeight="1" x14ac:dyDescent="0.3">
      <c r="A44" s="60" t="s">
        <v>117</v>
      </c>
      <c r="B44" s="60" t="s">
        <v>119</v>
      </c>
      <c r="C44" s="60" t="s">
        <v>320</v>
      </c>
    </row>
    <row r="45" spans="1:3" ht="25.95" customHeight="1" x14ac:dyDescent="0.3">
      <c r="A45" s="12">
        <v>1</v>
      </c>
      <c r="B45" s="57" t="s">
        <v>329</v>
      </c>
      <c r="C45" s="58" t="s">
        <v>294</v>
      </c>
    </row>
    <row r="46" spans="1:3" ht="25.95" customHeight="1" x14ac:dyDescent="0.3">
      <c r="A46" s="10">
        <v>2</v>
      </c>
      <c r="B46" s="46" t="s">
        <v>330</v>
      </c>
      <c r="C46" s="48" t="s">
        <v>295</v>
      </c>
    </row>
    <row r="47" spans="1:3" ht="25.95" customHeight="1" x14ac:dyDescent="0.3">
      <c r="A47" s="12">
        <v>3</v>
      </c>
      <c r="B47" s="56" t="s">
        <v>331</v>
      </c>
      <c r="C47" s="48" t="s">
        <v>295</v>
      </c>
    </row>
    <row r="48" spans="1:3" ht="25.95" customHeight="1" x14ac:dyDescent="0.3">
      <c r="A48" s="10">
        <v>4</v>
      </c>
      <c r="B48" s="57" t="s">
        <v>328</v>
      </c>
      <c r="C48" s="58" t="s">
        <v>294</v>
      </c>
    </row>
    <row r="49" spans="1:3" ht="25.95" customHeight="1" x14ac:dyDescent="0.3">
      <c r="A49" s="12">
        <v>5</v>
      </c>
      <c r="B49" s="57" t="s">
        <v>332</v>
      </c>
      <c r="C49" s="58" t="s">
        <v>294</v>
      </c>
    </row>
    <row r="50" spans="1:3" ht="25.95" customHeight="1" x14ac:dyDescent="0.3">
      <c r="A50" s="10">
        <v>6</v>
      </c>
      <c r="B50" s="57" t="s">
        <v>333</v>
      </c>
      <c r="C50" s="58" t="s">
        <v>294</v>
      </c>
    </row>
    <row r="51" spans="1:3" ht="25.95" customHeight="1" x14ac:dyDescent="0.3">
      <c r="A51" s="12">
        <v>7</v>
      </c>
      <c r="B51" s="56" t="s">
        <v>334</v>
      </c>
      <c r="C51" s="48" t="s">
        <v>295</v>
      </c>
    </row>
    <row r="52" spans="1:3" ht="25.95" customHeight="1" x14ac:dyDescent="0.3">
      <c r="A52" s="10">
        <v>8</v>
      </c>
      <c r="B52" s="57" t="s">
        <v>335</v>
      </c>
      <c r="C52" s="58" t="s">
        <v>294</v>
      </c>
    </row>
    <row r="53" spans="1:3" ht="25.8" customHeight="1" x14ac:dyDescent="0.3">
      <c r="A53" s="12">
        <v>9</v>
      </c>
      <c r="B53" s="56" t="s">
        <v>336</v>
      </c>
      <c r="C53" s="48" t="s">
        <v>295</v>
      </c>
    </row>
    <row r="54" spans="1:3" ht="25.2" customHeight="1" x14ac:dyDescent="0.3">
      <c r="A54" s="10">
        <v>10</v>
      </c>
      <c r="B54" s="46" t="s">
        <v>337</v>
      </c>
      <c r="C54" s="48" t="s">
        <v>295</v>
      </c>
    </row>
    <row r="55" spans="1:3" ht="25.2" customHeight="1" x14ac:dyDescent="0.3">
      <c r="A55" s="12">
        <v>11</v>
      </c>
      <c r="B55" s="57" t="s">
        <v>338</v>
      </c>
      <c r="C55" s="58" t="s">
        <v>294</v>
      </c>
    </row>
    <row r="56" spans="1:3" ht="28.8" customHeight="1" x14ac:dyDescent="0.3">
      <c r="A56" s="10">
        <v>12</v>
      </c>
      <c r="B56" s="46" t="s">
        <v>339</v>
      </c>
      <c r="C56" s="48" t="s">
        <v>295</v>
      </c>
    </row>
    <row r="57" spans="1:3" ht="25.8" customHeight="1" x14ac:dyDescent="0.3">
      <c r="A57" s="12">
        <v>13</v>
      </c>
      <c r="B57" s="56" t="s">
        <v>340</v>
      </c>
      <c r="C57" s="48" t="s">
        <v>295</v>
      </c>
    </row>
    <row r="58" spans="1:3" x14ac:dyDescent="0.3">
      <c r="A58" s="75" t="s">
        <v>341</v>
      </c>
      <c r="B58" s="75"/>
      <c r="C58" s="55">
        <f>COUNTIF(C45:C57,"YES")</f>
        <v>6</v>
      </c>
    </row>
    <row r="59" spans="1:3" x14ac:dyDescent="0.3">
      <c r="A59" s="73" t="s">
        <v>342</v>
      </c>
      <c r="B59" s="74"/>
      <c r="C59" s="54">
        <f>COUNTIF(C4:C57,"YES")</f>
        <v>9</v>
      </c>
    </row>
    <row r="60" spans="1:3" x14ac:dyDescent="0.3">
      <c r="A60" s="73"/>
      <c r="B60" s="74"/>
      <c r="C60" s="53">
        <f>COUNTIF(C4:C57,"NO")</f>
        <v>33</v>
      </c>
    </row>
  </sheetData>
  <mergeCells count="12">
    <mergeCell ref="A1:C1"/>
    <mergeCell ref="A6:B6"/>
    <mergeCell ref="A7:C7"/>
    <mergeCell ref="A33:B33"/>
    <mergeCell ref="A58:B58"/>
    <mergeCell ref="A59:B60"/>
    <mergeCell ref="A2:C2"/>
    <mergeCell ref="A34:C34"/>
    <mergeCell ref="A37:B37"/>
    <mergeCell ref="A38:C38"/>
    <mergeCell ref="A42:B42"/>
    <mergeCell ref="A43:C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1"/>
  <sheetViews>
    <sheetView workbookViewId="0">
      <selection sqref="A1:F1"/>
    </sheetView>
  </sheetViews>
  <sheetFormatPr defaultRowHeight="14.4" x14ac:dyDescent="0.3"/>
  <cols>
    <col min="1" max="1" width="28" customWidth="1"/>
    <col min="2" max="2" width="32" customWidth="1"/>
    <col min="3" max="3" width="48" customWidth="1"/>
    <col min="4" max="4" width="28" customWidth="1"/>
    <col min="5" max="5" width="16" customWidth="1"/>
    <col min="6" max="6" width="20" customWidth="1"/>
  </cols>
  <sheetData>
    <row r="1" spans="1:6" ht="30" customHeight="1" x14ac:dyDescent="0.3">
      <c r="A1" s="77" t="s">
        <v>150</v>
      </c>
      <c r="B1" s="63"/>
      <c r="C1" s="63"/>
      <c r="D1" s="63"/>
      <c r="E1" s="63"/>
      <c r="F1" s="63"/>
    </row>
    <row r="2" spans="1:6" ht="18" customHeight="1" x14ac:dyDescent="0.3">
      <c r="A2" s="66" t="s">
        <v>151</v>
      </c>
      <c r="B2" s="63"/>
      <c r="C2" s="63"/>
      <c r="D2" s="63"/>
      <c r="E2" s="63"/>
      <c r="F2" s="63"/>
    </row>
    <row r="3" spans="1:6" ht="19.95" customHeight="1" x14ac:dyDescent="0.3">
      <c r="A3" s="67" t="s">
        <v>152</v>
      </c>
      <c r="B3" s="63"/>
      <c r="C3" s="63"/>
      <c r="D3" s="63"/>
      <c r="E3" s="63"/>
      <c r="F3" s="63"/>
    </row>
    <row r="4" spans="1:6" ht="28.05" customHeight="1" x14ac:dyDescent="0.3">
      <c r="A4" s="23" t="s">
        <v>153</v>
      </c>
      <c r="B4" s="23" t="s">
        <v>154</v>
      </c>
      <c r="C4" s="23" t="s">
        <v>155</v>
      </c>
      <c r="D4" s="23" t="s">
        <v>156</v>
      </c>
      <c r="E4" s="23" t="s">
        <v>157</v>
      </c>
      <c r="F4" s="23" t="s">
        <v>115</v>
      </c>
    </row>
    <row r="5" spans="1:6" ht="43.95" customHeight="1" x14ac:dyDescent="0.3">
      <c r="A5" s="28" t="s">
        <v>158</v>
      </c>
      <c r="B5" s="29" t="s">
        <v>159</v>
      </c>
      <c r="C5" s="29" t="s">
        <v>160</v>
      </c>
      <c r="D5" s="29" t="s">
        <v>161</v>
      </c>
      <c r="E5" s="38" t="s">
        <v>162</v>
      </c>
      <c r="F5" s="29"/>
    </row>
    <row r="6" spans="1:6" ht="43.95" customHeight="1" x14ac:dyDescent="0.3">
      <c r="A6" s="31" t="s">
        <v>163</v>
      </c>
      <c r="B6" s="32" t="s">
        <v>164</v>
      </c>
      <c r="C6" s="32" t="s">
        <v>165</v>
      </c>
      <c r="D6" s="32" t="s">
        <v>166</v>
      </c>
      <c r="E6" s="38" t="s">
        <v>167</v>
      </c>
      <c r="F6" s="32"/>
    </row>
    <row r="7" spans="1:6" ht="43.95" customHeight="1" x14ac:dyDescent="0.3">
      <c r="A7" s="17" t="s">
        <v>168</v>
      </c>
      <c r="B7" s="18" t="s">
        <v>169</v>
      </c>
      <c r="C7" s="18" t="s">
        <v>170</v>
      </c>
      <c r="D7" s="18" t="s">
        <v>166</v>
      </c>
      <c r="E7" s="38" t="s">
        <v>171</v>
      </c>
      <c r="F7" s="18"/>
    </row>
    <row r="8" spans="1:6" ht="43.95" customHeight="1" x14ac:dyDescent="0.3">
      <c r="A8" s="20" t="s">
        <v>172</v>
      </c>
      <c r="B8" s="21" t="s">
        <v>173</v>
      </c>
      <c r="C8" s="21" t="s">
        <v>174</v>
      </c>
      <c r="D8" s="21" t="s">
        <v>166</v>
      </c>
      <c r="E8" s="38" t="s">
        <v>175</v>
      </c>
      <c r="F8" s="21"/>
    </row>
    <row r="9" spans="1:6" ht="43.95" customHeight="1" x14ac:dyDescent="0.3">
      <c r="A9" s="34" t="s">
        <v>176</v>
      </c>
      <c r="B9" s="35" t="s">
        <v>177</v>
      </c>
      <c r="C9" s="35" t="s">
        <v>178</v>
      </c>
      <c r="D9" s="35" t="s">
        <v>179</v>
      </c>
      <c r="E9" s="38" t="s">
        <v>180</v>
      </c>
      <c r="F9" s="35"/>
    </row>
    <row r="10" spans="1:6" ht="43.95" customHeight="1" x14ac:dyDescent="0.3">
      <c r="A10" s="13" t="s">
        <v>181</v>
      </c>
      <c r="B10" s="14" t="s">
        <v>177</v>
      </c>
      <c r="C10" s="14" t="s">
        <v>182</v>
      </c>
      <c r="D10" s="14" t="s">
        <v>166</v>
      </c>
      <c r="E10" s="38" t="s">
        <v>183</v>
      </c>
      <c r="F10" s="14"/>
    </row>
    <row r="11" spans="1:6" ht="43.95" customHeight="1" x14ac:dyDescent="0.3">
      <c r="A11" s="39" t="s">
        <v>184</v>
      </c>
      <c r="B11" s="40" t="s">
        <v>185</v>
      </c>
      <c r="C11" s="40" t="s">
        <v>186</v>
      </c>
      <c r="D11" s="40" t="s">
        <v>166</v>
      </c>
      <c r="E11" s="38" t="s">
        <v>187</v>
      </c>
      <c r="F11" s="40"/>
    </row>
    <row r="12" spans="1:6" ht="36" customHeight="1" x14ac:dyDescent="0.3">
      <c r="A12" s="24"/>
      <c r="B12" s="24"/>
      <c r="C12" s="24"/>
      <c r="D12" s="24"/>
      <c r="E12" s="24"/>
      <c r="F12" s="24"/>
    </row>
    <row r="13" spans="1:6" ht="36" customHeight="1" x14ac:dyDescent="0.3">
      <c r="A13" s="24"/>
      <c r="B13" s="24"/>
      <c r="C13" s="24"/>
      <c r="D13" s="24"/>
      <c r="E13" s="24"/>
      <c r="F13" s="24"/>
    </row>
    <row r="14" spans="1:6" ht="36" customHeight="1" x14ac:dyDescent="0.3">
      <c r="A14" s="24"/>
      <c r="B14" s="24"/>
      <c r="C14" s="24"/>
      <c r="D14" s="24"/>
      <c r="E14" s="24"/>
      <c r="F14" s="24"/>
    </row>
    <row r="15" spans="1:6" ht="36" customHeight="1" x14ac:dyDescent="0.3">
      <c r="A15" s="24"/>
      <c r="B15" s="24"/>
      <c r="C15" s="24"/>
      <c r="D15" s="24"/>
      <c r="E15" s="24"/>
      <c r="F15" s="24"/>
    </row>
    <row r="16" spans="1:6" ht="36" customHeight="1" x14ac:dyDescent="0.3">
      <c r="A16" s="24"/>
      <c r="B16" s="24"/>
      <c r="C16" s="24"/>
      <c r="D16" s="24"/>
      <c r="E16" s="24"/>
      <c r="F16" s="24"/>
    </row>
    <row r="17" spans="1:6" ht="36" customHeight="1" x14ac:dyDescent="0.3">
      <c r="A17" s="24"/>
      <c r="B17" s="24"/>
      <c r="C17" s="24"/>
      <c r="D17" s="24"/>
      <c r="E17" s="24"/>
      <c r="F17" s="24"/>
    </row>
    <row r="18" spans="1:6" ht="36" customHeight="1" x14ac:dyDescent="0.3">
      <c r="A18" s="24"/>
      <c r="B18" s="24"/>
      <c r="C18" s="24"/>
      <c r="D18" s="24"/>
      <c r="E18" s="24"/>
      <c r="F18" s="24"/>
    </row>
    <row r="19" spans="1:6" ht="36" customHeight="1" x14ac:dyDescent="0.3">
      <c r="A19" s="24"/>
      <c r="B19" s="24"/>
      <c r="C19" s="24"/>
      <c r="D19" s="24"/>
      <c r="E19" s="24"/>
      <c r="F19" s="24"/>
    </row>
    <row r="20" spans="1:6" ht="36" customHeight="1" x14ac:dyDescent="0.3">
      <c r="A20" s="24"/>
      <c r="B20" s="24"/>
      <c r="C20" s="24"/>
      <c r="D20" s="24"/>
      <c r="E20" s="24"/>
      <c r="F20" s="24"/>
    </row>
    <row r="21" spans="1:6" ht="36" customHeight="1" x14ac:dyDescent="0.3">
      <c r="A21" s="24"/>
      <c r="B21" s="24"/>
      <c r="C21" s="24"/>
      <c r="D21" s="24"/>
      <c r="E21" s="24"/>
      <c r="F21" s="24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2"/>
  <sheetViews>
    <sheetView workbookViewId="0">
      <selection sqref="A1:C1"/>
    </sheetView>
  </sheetViews>
  <sheetFormatPr defaultRowHeight="14.4" x14ac:dyDescent="0.3"/>
  <cols>
    <col min="1" max="1" width="32" customWidth="1"/>
    <col min="2" max="3" width="16" customWidth="1"/>
  </cols>
  <sheetData>
    <row r="1" spans="1:3" ht="30" customHeight="1" x14ac:dyDescent="0.3">
      <c r="A1" s="65" t="s">
        <v>188</v>
      </c>
      <c r="B1" s="63"/>
      <c r="C1" s="63"/>
    </row>
    <row r="2" spans="1:3" ht="18" customHeight="1" x14ac:dyDescent="0.3">
      <c r="A2" s="66" t="s">
        <v>189</v>
      </c>
      <c r="B2" s="63"/>
      <c r="C2" s="63"/>
    </row>
    <row r="3" spans="1:3" ht="19.95" customHeight="1" x14ac:dyDescent="0.3">
      <c r="A3" s="64" t="s">
        <v>190</v>
      </c>
      <c r="B3" s="63"/>
      <c r="C3" s="63"/>
    </row>
    <row r="4" spans="1:3" ht="22.05" customHeight="1" x14ac:dyDescent="0.3">
      <c r="A4" s="1" t="s">
        <v>118</v>
      </c>
      <c r="B4" s="1" t="s">
        <v>191</v>
      </c>
      <c r="C4" s="1" t="s">
        <v>192</v>
      </c>
    </row>
    <row r="5" spans="1:3" ht="22.05" customHeight="1" x14ac:dyDescent="0.3">
      <c r="A5" s="2" t="s">
        <v>116</v>
      </c>
      <c r="B5" s="12">
        <v>6</v>
      </c>
      <c r="C5" s="19" t="s">
        <v>125</v>
      </c>
    </row>
    <row r="6" spans="1:3" ht="22.05" customHeight="1" x14ac:dyDescent="0.3">
      <c r="A6" s="5" t="s">
        <v>30</v>
      </c>
      <c r="B6" s="19" t="s">
        <v>125</v>
      </c>
      <c r="C6" s="19" t="s">
        <v>125</v>
      </c>
    </row>
    <row r="7" spans="1:3" ht="22.05" customHeight="1" x14ac:dyDescent="0.3">
      <c r="A7" s="2" t="s">
        <v>23</v>
      </c>
      <c r="B7" s="12">
        <v>127</v>
      </c>
      <c r="C7" s="19" t="s">
        <v>125</v>
      </c>
    </row>
    <row r="8" spans="1:3" ht="22.05" customHeight="1" x14ac:dyDescent="0.3">
      <c r="A8" s="5" t="s">
        <v>25</v>
      </c>
      <c r="B8" s="19" t="s">
        <v>125</v>
      </c>
      <c r="C8" s="19" t="s">
        <v>125</v>
      </c>
    </row>
    <row r="9" spans="1:3" ht="22.05" customHeight="1" x14ac:dyDescent="0.3">
      <c r="A9" s="2" t="s">
        <v>28</v>
      </c>
      <c r="B9" s="19" t="s">
        <v>125</v>
      </c>
      <c r="C9" s="19" t="s">
        <v>125</v>
      </c>
    </row>
    <row r="10" spans="1:3" ht="22.05" customHeight="1" x14ac:dyDescent="0.3">
      <c r="A10" s="5" t="s">
        <v>31</v>
      </c>
      <c r="B10" s="19" t="s">
        <v>125</v>
      </c>
      <c r="C10" s="19" t="s">
        <v>125</v>
      </c>
    </row>
    <row r="11" spans="1:3" ht="22.05" customHeight="1" x14ac:dyDescent="0.3">
      <c r="A11" s="2" t="s">
        <v>33</v>
      </c>
      <c r="B11" s="19" t="s">
        <v>125</v>
      </c>
      <c r="C11" s="19" t="s">
        <v>125</v>
      </c>
    </row>
    <row r="12" spans="1:3" ht="24" customHeight="1" x14ac:dyDescent="0.3">
      <c r="A12" s="41" t="s">
        <v>193</v>
      </c>
      <c r="B12" s="42" t="s">
        <v>125</v>
      </c>
      <c r="C12" s="42" t="s">
        <v>125</v>
      </c>
    </row>
    <row r="14" spans="1:3" ht="19.95" customHeight="1" x14ac:dyDescent="0.3">
      <c r="A14" s="67" t="s">
        <v>194</v>
      </c>
      <c r="B14" s="63"/>
      <c r="C14" s="63"/>
    </row>
    <row r="15" spans="1:3" ht="22.05" customHeight="1" x14ac:dyDescent="0.3">
      <c r="A15" s="27" t="s">
        <v>132</v>
      </c>
      <c r="B15" s="27" t="s">
        <v>195</v>
      </c>
      <c r="C15" s="27" t="s">
        <v>196</v>
      </c>
    </row>
    <row r="16" spans="1:3" ht="22.05" customHeight="1" x14ac:dyDescent="0.3">
      <c r="A16" s="28" t="s">
        <v>197</v>
      </c>
      <c r="B16" s="16" t="s">
        <v>125</v>
      </c>
      <c r="C16" s="30" t="s">
        <v>126</v>
      </c>
    </row>
    <row r="17" spans="1:3" ht="22.05" customHeight="1" x14ac:dyDescent="0.3">
      <c r="A17" s="31" t="s">
        <v>198</v>
      </c>
      <c r="B17" s="16" t="s">
        <v>125</v>
      </c>
      <c r="C17" s="33" t="s">
        <v>125</v>
      </c>
    </row>
    <row r="18" spans="1:3" ht="22.05" customHeight="1" x14ac:dyDescent="0.3">
      <c r="A18" s="17" t="s">
        <v>199</v>
      </c>
      <c r="B18" s="16" t="s">
        <v>125</v>
      </c>
      <c r="C18" s="19" t="s">
        <v>125</v>
      </c>
    </row>
    <row r="19" spans="1:3" ht="22.05" customHeight="1" x14ac:dyDescent="0.3">
      <c r="A19" s="20" t="s">
        <v>200</v>
      </c>
      <c r="B19" s="16" t="s">
        <v>125</v>
      </c>
      <c r="C19" s="22" t="s">
        <v>125</v>
      </c>
    </row>
    <row r="20" spans="1:3" ht="22.05" customHeight="1" x14ac:dyDescent="0.3">
      <c r="A20" s="34" t="s">
        <v>201</v>
      </c>
      <c r="B20" s="16" t="s">
        <v>125</v>
      </c>
      <c r="C20" s="36" t="s">
        <v>125</v>
      </c>
    </row>
    <row r="21" spans="1:3" ht="22.05" customHeight="1" x14ac:dyDescent="0.3">
      <c r="A21" s="13" t="s">
        <v>202</v>
      </c>
      <c r="B21" s="16" t="s">
        <v>125</v>
      </c>
      <c r="C21" s="15" t="s">
        <v>125</v>
      </c>
    </row>
    <row r="22" spans="1:3" ht="22.05" customHeight="1" x14ac:dyDescent="0.3">
      <c r="A22" s="43" t="s">
        <v>203</v>
      </c>
      <c r="B22" s="16" t="s">
        <v>147</v>
      </c>
      <c r="C22" s="44" t="s">
        <v>125</v>
      </c>
    </row>
  </sheetData>
  <mergeCells count="4">
    <mergeCell ref="A1:C1"/>
    <mergeCell ref="A14:C14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Taxonomy</vt:lpstr>
      <vt:lpstr>PRISMA Flow</vt:lpstr>
      <vt:lpstr>IEEE Xplore</vt:lpstr>
      <vt:lpstr>IEEE</vt:lpstr>
      <vt:lpstr>Synthesis Notes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Atta-Fynn</cp:lastModifiedBy>
  <dcterms:created xsi:type="dcterms:W3CDTF">2026-03-24T18:50:16Z</dcterms:created>
  <dcterms:modified xsi:type="dcterms:W3CDTF">2026-07-26T12:50:10Z</dcterms:modified>
</cp:coreProperties>
</file>